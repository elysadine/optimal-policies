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THESE - ELYSA\SOUMISSION ARTICLE ELYSA 2026\PUBLICATIONS\Journal of Applied Statistics\2eme revision\"/>
    </mc:Choice>
  </mc:AlternateContent>
  <xr:revisionPtr revIDLastSave="0" documentId="13_ncr:1_{37D34240-8CFF-4D80-B768-43BBE23306C0}" xr6:coauthVersionLast="36" xr6:coauthVersionMax="36" xr10:uidLastSave="{00000000-0000-0000-0000-000000000000}"/>
  <bookViews>
    <workbookView xWindow="0" yWindow="0" windowWidth="23040" windowHeight="10404" xr2:uid="{F79D925D-3F0D-488F-9DB5-CF5FA018C701}"/>
  </bookViews>
  <sheets>
    <sheet name="PRETEST" sheetId="1" r:id="rId1"/>
    <sheet name="Feuil2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56" i="2" l="1"/>
  <c r="AJ56" i="2"/>
  <c r="AD56" i="2"/>
  <c r="X56" i="2"/>
  <c r="R56" i="2"/>
  <c r="L56" i="2"/>
  <c r="K56" i="2"/>
  <c r="J56" i="2"/>
  <c r="I56" i="2"/>
  <c r="G56" i="2"/>
  <c r="AP55" i="2"/>
  <c r="AJ55" i="2"/>
  <c r="AD55" i="2"/>
  <c r="X55" i="2"/>
  <c r="R55" i="2"/>
  <c r="L55" i="2"/>
  <c r="K55" i="2"/>
  <c r="J55" i="2"/>
  <c r="I55" i="2"/>
  <c r="G55" i="2"/>
  <c r="AO54" i="2"/>
  <c r="AN54" i="2"/>
  <c r="AM54" i="2"/>
  <c r="AL54" i="2"/>
  <c r="AI54" i="2"/>
  <c r="AH54" i="2"/>
  <c r="AG54" i="2"/>
  <c r="AF54" i="2"/>
  <c r="AC54" i="2"/>
  <c r="AB54" i="2"/>
  <c r="AA54" i="2"/>
  <c r="Z54" i="2"/>
  <c r="W54" i="2"/>
  <c r="V54" i="2"/>
  <c r="U54" i="2"/>
  <c r="T54" i="2"/>
  <c r="Q54" i="2"/>
  <c r="P54" i="2"/>
  <c r="K54" i="2" s="1"/>
  <c r="O54" i="2"/>
  <c r="N54" i="2"/>
  <c r="F54" i="2"/>
  <c r="E54" i="2"/>
  <c r="G54" i="2" s="1"/>
  <c r="AP53" i="2"/>
  <c r="AJ53" i="2"/>
  <c r="AD53" i="2"/>
  <c r="X53" i="2"/>
  <c r="R53" i="2"/>
  <c r="L53" i="2"/>
  <c r="K53" i="2"/>
  <c r="J53" i="2"/>
  <c r="M53" i="2" s="1"/>
  <c r="AK53" i="2" s="1"/>
  <c r="I53" i="2"/>
  <c r="G53" i="2"/>
  <c r="AP52" i="2"/>
  <c r="AJ52" i="2"/>
  <c r="AD52" i="2"/>
  <c r="X52" i="2"/>
  <c r="R52" i="2"/>
  <c r="L52" i="2"/>
  <c r="K52" i="2"/>
  <c r="J52" i="2"/>
  <c r="I52" i="2"/>
  <c r="G52" i="2"/>
  <c r="AP51" i="2"/>
  <c r="AJ51" i="2"/>
  <c r="AD51" i="2"/>
  <c r="X51" i="2"/>
  <c r="R51" i="2"/>
  <c r="L51" i="2"/>
  <c r="K51" i="2"/>
  <c r="J51" i="2"/>
  <c r="I51" i="2"/>
  <c r="G51" i="2"/>
  <c r="AP50" i="2"/>
  <c r="AJ50" i="2"/>
  <c r="AD50" i="2"/>
  <c r="X50" i="2"/>
  <c r="R50" i="2"/>
  <c r="L50" i="2"/>
  <c r="K50" i="2"/>
  <c r="J50" i="2"/>
  <c r="I50" i="2"/>
  <c r="G50" i="2"/>
  <c r="AP49" i="2"/>
  <c r="AJ49" i="2"/>
  <c r="AD49" i="2"/>
  <c r="X49" i="2"/>
  <c r="R49" i="2"/>
  <c r="L49" i="2"/>
  <c r="K49" i="2"/>
  <c r="J49" i="2"/>
  <c r="I49" i="2"/>
  <c r="G49" i="2"/>
  <c r="AO48" i="2"/>
  <c r="AN48" i="2"/>
  <c r="AM48" i="2"/>
  <c r="AL48" i="2"/>
  <c r="AI48" i="2"/>
  <c r="AH48" i="2"/>
  <c r="AG48" i="2"/>
  <c r="AF48" i="2"/>
  <c r="AC48" i="2"/>
  <c r="AB48" i="2"/>
  <c r="AA48" i="2"/>
  <c r="Z48" i="2"/>
  <c r="W48" i="2"/>
  <c r="V48" i="2"/>
  <c r="U48" i="2"/>
  <c r="T48" i="2"/>
  <c r="Q48" i="2"/>
  <c r="P48" i="2"/>
  <c r="O48" i="2"/>
  <c r="N48" i="2"/>
  <c r="F48" i="2"/>
  <c r="E48" i="2"/>
  <c r="AP47" i="2"/>
  <c r="AJ47" i="2"/>
  <c r="AD47" i="2"/>
  <c r="X47" i="2"/>
  <c r="R47" i="2"/>
  <c r="L47" i="2"/>
  <c r="K47" i="2"/>
  <c r="J47" i="2"/>
  <c r="I47" i="2"/>
  <c r="G47" i="2"/>
  <c r="AP46" i="2"/>
  <c r="AJ46" i="2"/>
  <c r="AD46" i="2"/>
  <c r="X46" i="2"/>
  <c r="R46" i="2"/>
  <c r="L46" i="2"/>
  <c r="K46" i="2"/>
  <c r="J46" i="2"/>
  <c r="I46" i="2"/>
  <c r="G46" i="2"/>
  <c r="AP45" i="2"/>
  <c r="AJ45" i="2"/>
  <c r="AD45" i="2"/>
  <c r="X45" i="2"/>
  <c r="R45" i="2"/>
  <c r="L45" i="2"/>
  <c r="K45" i="2"/>
  <c r="J45" i="2"/>
  <c r="I45" i="2"/>
  <c r="G45" i="2"/>
  <c r="AO44" i="2"/>
  <c r="AN44" i="2"/>
  <c r="AM44" i="2"/>
  <c r="AL44" i="2"/>
  <c r="AI44" i="2"/>
  <c r="AH44" i="2"/>
  <c r="AG44" i="2"/>
  <c r="AF44" i="2"/>
  <c r="AC44" i="2"/>
  <c r="AB44" i="2"/>
  <c r="AA44" i="2"/>
  <c r="Z44" i="2"/>
  <c r="W44" i="2"/>
  <c r="V44" i="2"/>
  <c r="U44" i="2"/>
  <c r="T44" i="2"/>
  <c r="Q44" i="2"/>
  <c r="P44" i="2"/>
  <c r="O44" i="2"/>
  <c r="N44" i="2"/>
  <c r="F44" i="2"/>
  <c r="E44" i="2"/>
  <c r="AP43" i="2"/>
  <c r="AJ43" i="2"/>
  <c r="AD43" i="2"/>
  <c r="X43" i="2"/>
  <c r="R43" i="2"/>
  <c r="L43" i="2"/>
  <c r="K43" i="2"/>
  <c r="J43" i="2"/>
  <c r="I43" i="2"/>
  <c r="G43" i="2"/>
  <c r="AP42" i="2"/>
  <c r="AJ42" i="2"/>
  <c r="AD42" i="2"/>
  <c r="X42" i="2"/>
  <c r="R42" i="2"/>
  <c r="L42" i="2"/>
  <c r="K42" i="2"/>
  <c r="J42" i="2"/>
  <c r="I42" i="2"/>
  <c r="G42" i="2"/>
  <c r="AP41" i="2"/>
  <c r="AJ41" i="2"/>
  <c r="AD41" i="2"/>
  <c r="X41" i="2"/>
  <c r="R41" i="2"/>
  <c r="L41" i="2"/>
  <c r="K41" i="2"/>
  <c r="J41" i="2"/>
  <c r="I41" i="2"/>
  <c r="G41" i="2"/>
  <c r="AO40" i="2"/>
  <c r="AN40" i="2"/>
  <c r="AM40" i="2"/>
  <c r="AL40" i="2"/>
  <c r="AI40" i="2"/>
  <c r="AH40" i="2"/>
  <c r="AG40" i="2"/>
  <c r="AF40" i="2"/>
  <c r="AC40" i="2"/>
  <c r="AB40" i="2"/>
  <c r="AA40" i="2"/>
  <c r="Z40" i="2"/>
  <c r="W40" i="2"/>
  <c r="V40" i="2"/>
  <c r="U40" i="2"/>
  <c r="T40" i="2"/>
  <c r="Q40" i="2"/>
  <c r="P40" i="2"/>
  <c r="K40" i="2" s="1"/>
  <c r="O40" i="2"/>
  <c r="N40" i="2"/>
  <c r="F40" i="2"/>
  <c r="E40" i="2"/>
  <c r="AP39" i="2"/>
  <c r="AJ39" i="2"/>
  <c r="AD39" i="2"/>
  <c r="X39" i="2"/>
  <c r="R39" i="2"/>
  <c r="L39" i="2"/>
  <c r="K39" i="2"/>
  <c r="J39" i="2"/>
  <c r="I39" i="2"/>
  <c r="G39" i="2"/>
  <c r="AP38" i="2"/>
  <c r="AJ38" i="2"/>
  <c r="AD38" i="2"/>
  <c r="X38" i="2"/>
  <c r="R38" i="2"/>
  <c r="L38" i="2"/>
  <c r="K38" i="2"/>
  <c r="J38" i="2"/>
  <c r="I38" i="2"/>
  <c r="G38" i="2"/>
  <c r="AP37" i="2"/>
  <c r="AJ37" i="2"/>
  <c r="AD37" i="2"/>
  <c r="X37" i="2"/>
  <c r="R37" i="2"/>
  <c r="L37" i="2"/>
  <c r="K37" i="2"/>
  <c r="J37" i="2"/>
  <c r="I37" i="2"/>
  <c r="G37" i="2"/>
  <c r="AP36" i="2"/>
  <c r="AJ36" i="2"/>
  <c r="AD36" i="2"/>
  <c r="X36" i="2"/>
  <c r="R36" i="2"/>
  <c r="L36" i="2"/>
  <c r="K36" i="2"/>
  <c r="J36" i="2"/>
  <c r="I36" i="2"/>
  <c r="G36" i="2"/>
  <c r="AP35" i="2"/>
  <c r="AJ35" i="2"/>
  <c r="AD35" i="2"/>
  <c r="X35" i="2"/>
  <c r="R35" i="2"/>
  <c r="L35" i="2"/>
  <c r="K35" i="2"/>
  <c r="J35" i="2"/>
  <c r="I35" i="2"/>
  <c r="G35" i="2"/>
  <c r="AP34" i="2"/>
  <c r="AJ34" i="2"/>
  <c r="AD34" i="2"/>
  <c r="X34" i="2"/>
  <c r="R34" i="2"/>
  <c r="L34" i="2"/>
  <c r="K34" i="2"/>
  <c r="J34" i="2"/>
  <c r="I34" i="2"/>
  <c r="G34" i="2"/>
  <c r="AP33" i="2"/>
  <c r="AJ33" i="2"/>
  <c r="AD33" i="2"/>
  <c r="X33" i="2"/>
  <c r="R33" i="2"/>
  <c r="L33" i="2"/>
  <c r="K33" i="2"/>
  <c r="J33" i="2"/>
  <c r="I33" i="2"/>
  <c r="G33" i="2"/>
  <c r="AP32" i="2"/>
  <c r="AJ32" i="2"/>
  <c r="AD32" i="2"/>
  <c r="X32" i="2"/>
  <c r="R32" i="2"/>
  <c r="L32" i="2"/>
  <c r="K32" i="2"/>
  <c r="J32" i="2"/>
  <c r="I32" i="2"/>
  <c r="G32" i="2"/>
  <c r="AO31" i="2"/>
  <c r="AN31" i="2"/>
  <c r="AM31" i="2"/>
  <c r="AL31" i="2"/>
  <c r="AI31" i="2"/>
  <c r="AH31" i="2"/>
  <c r="AG31" i="2"/>
  <c r="AF31" i="2"/>
  <c r="AC31" i="2"/>
  <c r="AB31" i="2"/>
  <c r="AA31" i="2"/>
  <c r="Z31" i="2"/>
  <c r="W31" i="2"/>
  <c r="V31" i="2"/>
  <c r="U31" i="2"/>
  <c r="J31" i="2" s="1"/>
  <c r="T31" i="2"/>
  <c r="Q31" i="2"/>
  <c r="P31" i="2"/>
  <c r="O31" i="2"/>
  <c r="N31" i="2"/>
  <c r="F31" i="2"/>
  <c r="E31" i="2"/>
  <c r="AP30" i="2"/>
  <c r="AJ30" i="2"/>
  <c r="AD30" i="2"/>
  <c r="X30" i="2"/>
  <c r="R30" i="2"/>
  <c r="L30" i="2"/>
  <c r="K30" i="2"/>
  <c r="J30" i="2"/>
  <c r="M30" i="2" s="1"/>
  <c r="AK30" i="2" s="1"/>
  <c r="I30" i="2"/>
  <c r="G30" i="2"/>
  <c r="AP29" i="2"/>
  <c r="AJ29" i="2"/>
  <c r="AD29" i="2"/>
  <c r="X29" i="2"/>
  <c r="R29" i="2"/>
  <c r="L29" i="2"/>
  <c r="K29" i="2"/>
  <c r="J29" i="2"/>
  <c r="I29" i="2"/>
  <c r="G29" i="2"/>
  <c r="AP28" i="2"/>
  <c r="AJ28" i="2"/>
  <c r="AD28" i="2"/>
  <c r="X28" i="2"/>
  <c r="R28" i="2"/>
  <c r="L28" i="2"/>
  <c r="K28" i="2"/>
  <c r="J28" i="2"/>
  <c r="I28" i="2"/>
  <c r="G28" i="2"/>
  <c r="AP27" i="2"/>
  <c r="AJ27" i="2"/>
  <c r="AD27" i="2"/>
  <c r="X27" i="2"/>
  <c r="R27" i="2"/>
  <c r="L27" i="2"/>
  <c r="K27" i="2"/>
  <c r="J27" i="2"/>
  <c r="I27" i="2"/>
  <c r="G27" i="2"/>
  <c r="AP26" i="2"/>
  <c r="AJ26" i="2"/>
  <c r="AD26" i="2"/>
  <c r="X26" i="2"/>
  <c r="R26" i="2"/>
  <c r="L26" i="2"/>
  <c r="K26" i="2"/>
  <c r="J26" i="2"/>
  <c r="I26" i="2"/>
  <c r="G26" i="2"/>
  <c r="AP25" i="2"/>
  <c r="AJ25" i="2"/>
  <c r="AD25" i="2"/>
  <c r="X25" i="2"/>
  <c r="R25" i="2"/>
  <c r="L25" i="2"/>
  <c r="K25" i="2"/>
  <c r="J25" i="2"/>
  <c r="I25" i="2"/>
  <c r="G25" i="2"/>
  <c r="AP24" i="2"/>
  <c r="AJ24" i="2"/>
  <c r="AD24" i="2"/>
  <c r="X24" i="2"/>
  <c r="R24" i="2"/>
  <c r="L24" i="2"/>
  <c r="K24" i="2"/>
  <c r="J24" i="2"/>
  <c r="I24" i="2"/>
  <c r="G24" i="2"/>
  <c r="AO23" i="2"/>
  <c r="AN23" i="2"/>
  <c r="AM23" i="2"/>
  <c r="AL23" i="2"/>
  <c r="AI23" i="2"/>
  <c r="AH23" i="2"/>
  <c r="AG23" i="2"/>
  <c r="AF23" i="2"/>
  <c r="AC23" i="2"/>
  <c r="AB23" i="2"/>
  <c r="AA23" i="2"/>
  <c r="Z23" i="2"/>
  <c r="W23" i="2"/>
  <c r="V23" i="2"/>
  <c r="U23" i="2"/>
  <c r="T23" i="2"/>
  <c r="Q23" i="2"/>
  <c r="P23" i="2"/>
  <c r="O23" i="2"/>
  <c r="N23" i="2"/>
  <c r="F23" i="2"/>
  <c r="E23" i="2"/>
  <c r="AP22" i="2"/>
  <c r="AJ22" i="2"/>
  <c r="AD22" i="2"/>
  <c r="X22" i="2"/>
  <c r="R22" i="2"/>
  <c r="L22" i="2"/>
  <c r="K22" i="2"/>
  <c r="J22" i="2"/>
  <c r="I22" i="2"/>
  <c r="G22" i="2"/>
  <c r="AP21" i="2"/>
  <c r="AJ21" i="2"/>
  <c r="AD21" i="2"/>
  <c r="X21" i="2"/>
  <c r="R21" i="2"/>
  <c r="L21" i="2"/>
  <c r="K21" i="2"/>
  <c r="J21" i="2"/>
  <c r="I21" i="2"/>
  <c r="G21" i="2"/>
  <c r="AP20" i="2"/>
  <c r="AJ20" i="2"/>
  <c r="AD20" i="2"/>
  <c r="X20" i="2"/>
  <c r="R20" i="2"/>
  <c r="L20" i="2"/>
  <c r="K20" i="2"/>
  <c r="J20" i="2"/>
  <c r="I20" i="2"/>
  <c r="G20" i="2"/>
  <c r="AP19" i="2"/>
  <c r="AJ19" i="2"/>
  <c r="AD19" i="2"/>
  <c r="X19" i="2"/>
  <c r="R19" i="2"/>
  <c r="L19" i="2"/>
  <c r="K19" i="2"/>
  <c r="J19" i="2"/>
  <c r="I19" i="2"/>
  <c r="G19" i="2"/>
  <c r="AP18" i="2"/>
  <c r="AJ18" i="2"/>
  <c r="AD18" i="2"/>
  <c r="X18" i="2"/>
  <c r="R18" i="2"/>
  <c r="L18" i="2"/>
  <c r="K18" i="2"/>
  <c r="J18" i="2"/>
  <c r="I18" i="2"/>
  <c r="G18" i="2"/>
  <c r="AP17" i="2"/>
  <c r="AJ17" i="2"/>
  <c r="AD17" i="2"/>
  <c r="X17" i="2"/>
  <c r="R17" i="2"/>
  <c r="L17" i="2"/>
  <c r="K17" i="2"/>
  <c r="J17" i="2"/>
  <c r="I17" i="2"/>
  <c r="G17" i="2"/>
  <c r="AP16" i="2"/>
  <c r="AJ16" i="2"/>
  <c r="AD16" i="2"/>
  <c r="X16" i="2"/>
  <c r="R16" i="2"/>
  <c r="L16" i="2"/>
  <c r="K16" i="2"/>
  <c r="J16" i="2"/>
  <c r="I16" i="2"/>
  <c r="G16" i="2"/>
  <c r="AO15" i="2"/>
  <c r="AN15" i="2"/>
  <c r="AM15" i="2"/>
  <c r="AL15" i="2"/>
  <c r="AI15" i="2"/>
  <c r="AH15" i="2"/>
  <c r="AG15" i="2"/>
  <c r="AF15" i="2"/>
  <c r="AC15" i="2"/>
  <c r="AB15" i="2"/>
  <c r="AA15" i="2"/>
  <c r="Z15" i="2"/>
  <c r="W15" i="2"/>
  <c r="V15" i="2"/>
  <c r="U15" i="2"/>
  <c r="T15" i="2"/>
  <c r="Q15" i="2"/>
  <c r="P15" i="2"/>
  <c r="O15" i="2"/>
  <c r="N15" i="2"/>
  <c r="F15" i="2"/>
  <c r="E15" i="2"/>
  <c r="AP14" i="2"/>
  <c r="AJ14" i="2"/>
  <c r="AD14" i="2"/>
  <c r="X14" i="2"/>
  <c r="R14" i="2"/>
  <c r="L14" i="2"/>
  <c r="K14" i="2"/>
  <c r="J14" i="2"/>
  <c r="I14" i="2"/>
  <c r="AP13" i="2"/>
  <c r="AJ13" i="2"/>
  <c r="AD13" i="2"/>
  <c r="X13" i="2"/>
  <c r="R13" i="2"/>
  <c r="L13" i="2"/>
  <c r="K13" i="2"/>
  <c r="J13" i="2"/>
  <c r="I13" i="2"/>
  <c r="F13" i="2"/>
  <c r="F14" i="2" s="1"/>
  <c r="AP12" i="2"/>
  <c r="AJ12" i="2"/>
  <c r="AD12" i="2"/>
  <c r="X12" i="2"/>
  <c r="R12" i="2"/>
  <c r="L12" i="2"/>
  <c r="K12" i="2"/>
  <c r="J12" i="2"/>
  <c r="I12" i="2"/>
  <c r="F12" i="2"/>
  <c r="G12" i="2" s="1"/>
  <c r="AO11" i="2"/>
  <c r="AN11" i="2"/>
  <c r="AM11" i="2"/>
  <c r="AL11" i="2"/>
  <c r="AI11" i="2"/>
  <c r="AH11" i="2"/>
  <c r="AG11" i="2"/>
  <c r="AF11" i="2"/>
  <c r="AC11" i="2"/>
  <c r="AB11" i="2"/>
  <c r="AA11" i="2"/>
  <c r="Z11" i="2"/>
  <c r="W11" i="2"/>
  <c r="V11" i="2"/>
  <c r="U11" i="2"/>
  <c r="T11" i="2"/>
  <c r="X11" i="2" s="1"/>
  <c r="Q11" i="2"/>
  <c r="P11" i="2"/>
  <c r="O11" i="2"/>
  <c r="N11" i="2"/>
  <c r="E11" i="2"/>
  <c r="AP10" i="2"/>
  <c r="AJ10" i="2"/>
  <c r="AD10" i="2"/>
  <c r="X10" i="2"/>
  <c r="R10" i="2"/>
  <c r="L10" i="2"/>
  <c r="K10" i="2"/>
  <c r="J10" i="2"/>
  <c r="I10" i="2"/>
  <c r="G10" i="2"/>
  <c r="AP9" i="2"/>
  <c r="AJ9" i="2"/>
  <c r="AD9" i="2"/>
  <c r="X9" i="2"/>
  <c r="R9" i="2"/>
  <c r="L9" i="2"/>
  <c r="K9" i="2"/>
  <c r="J9" i="2"/>
  <c r="I9" i="2"/>
  <c r="G9" i="2"/>
  <c r="AP8" i="2"/>
  <c r="AJ8" i="2"/>
  <c r="AD8" i="2"/>
  <c r="X8" i="2"/>
  <c r="R8" i="2"/>
  <c r="L8" i="2"/>
  <c r="K8" i="2"/>
  <c r="J8" i="2"/>
  <c r="I8" i="2"/>
  <c r="G8" i="2"/>
  <c r="AP7" i="2"/>
  <c r="AJ7" i="2"/>
  <c r="AD7" i="2"/>
  <c r="X7" i="2"/>
  <c r="R7" i="2"/>
  <c r="L7" i="2"/>
  <c r="K7" i="2"/>
  <c r="J7" i="2"/>
  <c r="I7" i="2"/>
  <c r="G7" i="2"/>
  <c r="AP6" i="2"/>
  <c r="AJ6" i="2"/>
  <c r="AD6" i="2"/>
  <c r="X6" i="2"/>
  <c r="R6" i="2"/>
  <c r="L6" i="2"/>
  <c r="K6" i="2"/>
  <c r="J6" i="2"/>
  <c r="I6" i="2"/>
  <c r="G6" i="2"/>
  <c r="AP5" i="2"/>
  <c r="AJ5" i="2"/>
  <c r="AD5" i="2"/>
  <c r="X5" i="2"/>
  <c r="R5" i="2"/>
  <c r="L5" i="2"/>
  <c r="K5" i="2"/>
  <c r="J5" i="2"/>
  <c r="I5" i="2"/>
  <c r="M5" i="2" s="1"/>
  <c r="G5" i="2"/>
  <c r="AP4" i="2"/>
  <c r="AJ4" i="2"/>
  <c r="AD4" i="2"/>
  <c r="X4" i="2"/>
  <c r="R4" i="2"/>
  <c r="L4" i="2"/>
  <c r="K4" i="2"/>
  <c r="J4" i="2"/>
  <c r="I4" i="2"/>
  <c r="G4" i="2"/>
  <c r="AO3" i="2"/>
  <c r="AN3" i="2"/>
  <c r="AM3" i="2"/>
  <c r="AL3" i="2"/>
  <c r="AI3" i="2"/>
  <c r="AH3" i="2"/>
  <c r="AG3" i="2"/>
  <c r="AF3" i="2"/>
  <c r="AC3" i="2"/>
  <c r="AB3" i="2"/>
  <c r="AA3" i="2"/>
  <c r="Z3" i="2"/>
  <c r="W3" i="2"/>
  <c r="V3" i="2"/>
  <c r="U3" i="2"/>
  <c r="T3" i="2"/>
  <c r="Q3" i="2"/>
  <c r="P3" i="2"/>
  <c r="O3" i="2"/>
  <c r="N3" i="2"/>
  <c r="G3" i="2"/>
  <c r="F3" i="2"/>
  <c r="E3" i="2"/>
  <c r="AP56" i="1"/>
  <c r="AJ56" i="1"/>
  <c r="AD56" i="1"/>
  <c r="X56" i="1"/>
  <c r="R56" i="1"/>
  <c r="L56" i="1"/>
  <c r="K56" i="1"/>
  <c r="J56" i="1"/>
  <c r="I56" i="1"/>
  <c r="G56" i="1"/>
  <c r="AP55" i="1"/>
  <c r="AJ55" i="1"/>
  <c r="AD55" i="1"/>
  <c r="X55" i="1"/>
  <c r="R55" i="1"/>
  <c r="L55" i="1"/>
  <c r="K55" i="1"/>
  <c r="J55" i="1"/>
  <c r="I55" i="1"/>
  <c r="G55" i="1"/>
  <c r="AO54" i="1"/>
  <c r="AN54" i="1"/>
  <c r="AM54" i="1"/>
  <c r="AL54" i="1"/>
  <c r="AI54" i="1"/>
  <c r="AH54" i="1"/>
  <c r="AG54" i="1"/>
  <c r="AF54" i="1"/>
  <c r="AC54" i="1"/>
  <c r="AB54" i="1"/>
  <c r="AA54" i="1"/>
  <c r="Z54" i="1"/>
  <c r="W54" i="1"/>
  <c r="V54" i="1"/>
  <c r="U54" i="1"/>
  <c r="T54" i="1"/>
  <c r="Q54" i="1"/>
  <c r="P54" i="1"/>
  <c r="O54" i="1"/>
  <c r="N54" i="1"/>
  <c r="F54" i="1"/>
  <c r="E54" i="1"/>
  <c r="AP53" i="1"/>
  <c r="AJ53" i="1"/>
  <c r="AD53" i="1"/>
  <c r="X53" i="1"/>
  <c r="R53" i="1"/>
  <c r="L53" i="1"/>
  <c r="K53" i="1"/>
  <c r="J53" i="1"/>
  <c r="I53" i="1"/>
  <c r="G53" i="1"/>
  <c r="AP52" i="1"/>
  <c r="AJ52" i="1"/>
  <c r="AD52" i="1"/>
  <c r="X52" i="1"/>
  <c r="R52" i="1"/>
  <c r="L52" i="1"/>
  <c r="K52" i="1"/>
  <c r="J52" i="1"/>
  <c r="I52" i="1"/>
  <c r="G52" i="1"/>
  <c r="AP51" i="1"/>
  <c r="AJ51" i="1"/>
  <c r="AD51" i="1"/>
  <c r="X51" i="1"/>
  <c r="R51" i="1"/>
  <c r="L51" i="1"/>
  <c r="K51" i="1"/>
  <c r="J51" i="1"/>
  <c r="I51" i="1"/>
  <c r="G51" i="1"/>
  <c r="AP50" i="1"/>
  <c r="AJ50" i="1"/>
  <c r="AD50" i="1"/>
  <c r="X50" i="1"/>
  <c r="R50" i="1"/>
  <c r="L50" i="1"/>
  <c r="K50" i="1"/>
  <c r="J50" i="1"/>
  <c r="I50" i="1"/>
  <c r="G50" i="1"/>
  <c r="AP49" i="1"/>
  <c r="AJ49" i="1"/>
  <c r="AD49" i="1"/>
  <c r="X49" i="1"/>
  <c r="R49" i="1"/>
  <c r="L49" i="1"/>
  <c r="K49" i="1"/>
  <c r="J49" i="1"/>
  <c r="I49" i="1"/>
  <c r="G49" i="1"/>
  <c r="AO48" i="1"/>
  <c r="AN48" i="1"/>
  <c r="AM48" i="1"/>
  <c r="AL48" i="1"/>
  <c r="AI48" i="1"/>
  <c r="AH48" i="1"/>
  <c r="AG48" i="1"/>
  <c r="AF48" i="1"/>
  <c r="AC48" i="1"/>
  <c r="AB48" i="1"/>
  <c r="AA48" i="1"/>
  <c r="Z48" i="1"/>
  <c r="W48" i="1"/>
  <c r="V48" i="1"/>
  <c r="U48" i="1"/>
  <c r="T48" i="1"/>
  <c r="Q48" i="1"/>
  <c r="P48" i="1"/>
  <c r="O48" i="1"/>
  <c r="N48" i="1"/>
  <c r="F48" i="1"/>
  <c r="E48" i="1"/>
  <c r="AP47" i="1"/>
  <c r="AJ47" i="1"/>
  <c r="AD47" i="1"/>
  <c r="X47" i="1"/>
  <c r="R47" i="1"/>
  <c r="L47" i="1"/>
  <c r="K47" i="1"/>
  <c r="J47" i="1"/>
  <c r="I47" i="1"/>
  <c r="G47" i="1"/>
  <c r="AP46" i="1"/>
  <c r="AJ46" i="1"/>
  <c r="AD46" i="1"/>
  <c r="X46" i="1"/>
  <c r="R46" i="1"/>
  <c r="L46" i="1"/>
  <c r="K46" i="1"/>
  <c r="J46" i="1"/>
  <c r="I46" i="1"/>
  <c r="G46" i="1"/>
  <c r="AP45" i="1"/>
  <c r="AJ45" i="1"/>
  <c r="AD45" i="1"/>
  <c r="X45" i="1"/>
  <c r="R45" i="1"/>
  <c r="L45" i="1"/>
  <c r="K45" i="1"/>
  <c r="J45" i="1"/>
  <c r="I45" i="1"/>
  <c r="G45" i="1"/>
  <c r="AO44" i="1"/>
  <c r="AN44" i="1"/>
  <c r="AM44" i="1"/>
  <c r="AL44" i="1"/>
  <c r="AI44" i="1"/>
  <c r="AH44" i="1"/>
  <c r="AG44" i="1"/>
  <c r="AF44" i="1"/>
  <c r="AC44" i="1"/>
  <c r="AB44" i="1"/>
  <c r="AA44" i="1"/>
  <c r="Z44" i="1"/>
  <c r="W44" i="1"/>
  <c r="V44" i="1"/>
  <c r="U44" i="1"/>
  <c r="T44" i="1"/>
  <c r="Q44" i="1"/>
  <c r="P44" i="1"/>
  <c r="O44" i="1"/>
  <c r="N44" i="1"/>
  <c r="F44" i="1"/>
  <c r="E44" i="1"/>
  <c r="AP43" i="1"/>
  <c r="AJ43" i="1"/>
  <c r="AD43" i="1"/>
  <c r="X43" i="1"/>
  <c r="R43" i="1"/>
  <c r="L43" i="1"/>
  <c r="K43" i="1"/>
  <c r="J43" i="1"/>
  <c r="I43" i="1"/>
  <c r="G43" i="1"/>
  <c r="AP42" i="1"/>
  <c r="AJ42" i="1"/>
  <c r="AD42" i="1"/>
  <c r="X42" i="1"/>
  <c r="R42" i="1"/>
  <c r="L42" i="1"/>
  <c r="K42" i="1"/>
  <c r="J42" i="1"/>
  <c r="I42" i="1"/>
  <c r="G42" i="1"/>
  <c r="AP41" i="1"/>
  <c r="AJ41" i="1"/>
  <c r="AD41" i="1"/>
  <c r="X41" i="1"/>
  <c r="R41" i="1"/>
  <c r="L41" i="1"/>
  <c r="K41" i="1"/>
  <c r="J41" i="1"/>
  <c r="I41" i="1"/>
  <c r="G41" i="1"/>
  <c r="AO40" i="1"/>
  <c r="AN40" i="1"/>
  <c r="AM40" i="1"/>
  <c r="AL40" i="1"/>
  <c r="AI40" i="1"/>
  <c r="AH40" i="1"/>
  <c r="AG40" i="1"/>
  <c r="AF40" i="1"/>
  <c r="AC40" i="1"/>
  <c r="AB40" i="1"/>
  <c r="AA40" i="1"/>
  <c r="Z40" i="1"/>
  <c r="W40" i="1"/>
  <c r="V40" i="1"/>
  <c r="U40" i="1"/>
  <c r="T40" i="1"/>
  <c r="Q40" i="1"/>
  <c r="P40" i="1"/>
  <c r="O40" i="1"/>
  <c r="N40" i="1"/>
  <c r="F40" i="1"/>
  <c r="E40" i="1"/>
  <c r="AP39" i="1"/>
  <c r="AJ39" i="1"/>
  <c r="AD39" i="1"/>
  <c r="X39" i="1"/>
  <c r="R39" i="1"/>
  <c r="L39" i="1"/>
  <c r="K39" i="1"/>
  <c r="J39" i="1"/>
  <c r="I39" i="1"/>
  <c r="G39" i="1"/>
  <c r="AP38" i="1"/>
  <c r="AJ38" i="1"/>
  <c r="AD38" i="1"/>
  <c r="X38" i="1"/>
  <c r="R38" i="1"/>
  <c r="L38" i="1"/>
  <c r="K38" i="1"/>
  <c r="J38" i="1"/>
  <c r="I38" i="1"/>
  <c r="G38" i="1"/>
  <c r="AP37" i="1"/>
  <c r="AJ37" i="1"/>
  <c r="AD37" i="1"/>
  <c r="X37" i="1"/>
  <c r="R37" i="1"/>
  <c r="L37" i="1"/>
  <c r="K37" i="1"/>
  <c r="J37" i="1"/>
  <c r="I37" i="1"/>
  <c r="G37" i="1"/>
  <c r="AP36" i="1"/>
  <c r="AJ36" i="1"/>
  <c r="AD36" i="1"/>
  <c r="X36" i="1"/>
  <c r="R36" i="1"/>
  <c r="L36" i="1"/>
  <c r="K36" i="1"/>
  <c r="J36" i="1"/>
  <c r="I36" i="1"/>
  <c r="G36" i="1"/>
  <c r="AP35" i="1"/>
  <c r="AJ35" i="1"/>
  <c r="AD35" i="1"/>
  <c r="X35" i="1"/>
  <c r="R35" i="1"/>
  <c r="L35" i="1"/>
  <c r="K35" i="1"/>
  <c r="J35" i="1"/>
  <c r="I35" i="1"/>
  <c r="G35" i="1"/>
  <c r="AP34" i="1"/>
  <c r="AJ34" i="1"/>
  <c r="AD34" i="1"/>
  <c r="X34" i="1"/>
  <c r="R34" i="1"/>
  <c r="L34" i="1"/>
  <c r="K34" i="1"/>
  <c r="J34" i="1"/>
  <c r="I34" i="1"/>
  <c r="G34" i="1"/>
  <c r="AP33" i="1"/>
  <c r="AJ33" i="1"/>
  <c r="AD33" i="1"/>
  <c r="X33" i="1"/>
  <c r="R33" i="1"/>
  <c r="L33" i="1"/>
  <c r="K33" i="1"/>
  <c r="J33" i="1"/>
  <c r="I33" i="1"/>
  <c r="G33" i="1"/>
  <c r="AP32" i="1"/>
  <c r="AJ32" i="1"/>
  <c r="AD32" i="1"/>
  <c r="X32" i="1"/>
  <c r="R32" i="1"/>
  <c r="L32" i="1"/>
  <c r="K32" i="1"/>
  <c r="J32" i="1"/>
  <c r="I32" i="1"/>
  <c r="G32" i="1"/>
  <c r="AO31" i="1"/>
  <c r="AN31" i="1"/>
  <c r="AM31" i="1"/>
  <c r="AL31" i="1"/>
  <c r="AI31" i="1"/>
  <c r="AH31" i="1"/>
  <c r="AG31" i="1"/>
  <c r="AF31" i="1"/>
  <c r="AC31" i="1"/>
  <c r="AB31" i="1"/>
  <c r="AA31" i="1"/>
  <c r="Z31" i="1"/>
  <c r="W31" i="1"/>
  <c r="V31" i="1"/>
  <c r="U31" i="1"/>
  <c r="T31" i="1"/>
  <c r="Q31" i="1"/>
  <c r="P31" i="1"/>
  <c r="O31" i="1"/>
  <c r="N31" i="1"/>
  <c r="F31" i="1"/>
  <c r="E31" i="1"/>
  <c r="AP30" i="1"/>
  <c r="AJ30" i="1"/>
  <c r="AD30" i="1"/>
  <c r="X30" i="1"/>
  <c r="R30" i="1"/>
  <c r="L30" i="1"/>
  <c r="K30" i="1"/>
  <c r="J30" i="1"/>
  <c r="I30" i="1"/>
  <c r="G30" i="1"/>
  <c r="AP29" i="1"/>
  <c r="AJ29" i="1"/>
  <c r="AD29" i="1"/>
  <c r="X29" i="1"/>
  <c r="R29" i="1"/>
  <c r="L29" i="1"/>
  <c r="K29" i="1"/>
  <c r="J29" i="1"/>
  <c r="I29" i="1"/>
  <c r="G29" i="1"/>
  <c r="AP28" i="1"/>
  <c r="AJ28" i="1"/>
  <c r="AD28" i="1"/>
  <c r="X28" i="1"/>
  <c r="R28" i="1"/>
  <c r="L28" i="1"/>
  <c r="K28" i="1"/>
  <c r="J28" i="1"/>
  <c r="I28" i="1"/>
  <c r="G28" i="1"/>
  <c r="AP27" i="1"/>
  <c r="AJ27" i="1"/>
  <c r="AD27" i="1"/>
  <c r="X27" i="1"/>
  <c r="R27" i="1"/>
  <c r="L27" i="1"/>
  <c r="K27" i="1"/>
  <c r="J27" i="1"/>
  <c r="I27" i="1"/>
  <c r="G27" i="1"/>
  <c r="AP26" i="1"/>
  <c r="AJ26" i="1"/>
  <c r="AD26" i="1"/>
  <c r="X26" i="1"/>
  <c r="R26" i="1"/>
  <c r="L26" i="1"/>
  <c r="K26" i="1"/>
  <c r="J26" i="1"/>
  <c r="I26" i="1"/>
  <c r="G26" i="1"/>
  <c r="AP25" i="1"/>
  <c r="AJ25" i="1"/>
  <c r="AD25" i="1"/>
  <c r="X25" i="1"/>
  <c r="R25" i="1"/>
  <c r="L25" i="1"/>
  <c r="K25" i="1"/>
  <c r="J25" i="1"/>
  <c r="I25" i="1"/>
  <c r="G25" i="1"/>
  <c r="AP24" i="1"/>
  <c r="AJ24" i="1"/>
  <c r="AD24" i="1"/>
  <c r="X24" i="1"/>
  <c r="R24" i="1"/>
  <c r="L24" i="1"/>
  <c r="K24" i="1"/>
  <c r="J24" i="1"/>
  <c r="I24" i="1"/>
  <c r="G24" i="1"/>
  <c r="AO23" i="1"/>
  <c r="AN23" i="1"/>
  <c r="AM23" i="1"/>
  <c r="AL23" i="1"/>
  <c r="AI23" i="1"/>
  <c r="AH23" i="1"/>
  <c r="AG23" i="1"/>
  <c r="AF23" i="1"/>
  <c r="AC23" i="1"/>
  <c r="AB23" i="1"/>
  <c r="AA23" i="1"/>
  <c r="Z23" i="1"/>
  <c r="W23" i="1"/>
  <c r="V23" i="1"/>
  <c r="U23" i="1"/>
  <c r="T23" i="1"/>
  <c r="Q23" i="1"/>
  <c r="P23" i="1"/>
  <c r="O23" i="1"/>
  <c r="N23" i="1"/>
  <c r="F23" i="1"/>
  <c r="G23" i="1" s="1"/>
  <c r="E23" i="1"/>
  <c r="AR22" i="1"/>
  <c r="AP22" i="1"/>
  <c r="AJ22" i="1"/>
  <c r="AD22" i="1"/>
  <c r="X22" i="1"/>
  <c r="R22" i="1"/>
  <c r="G22" i="1"/>
  <c r="AR21" i="1"/>
  <c r="AP21" i="1"/>
  <c r="AJ21" i="1"/>
  <c r="AD21" i="1"/>
  <c r="X21" i="1"/>
  <c r="R21" i="1"/>
  <c r="G21" i="1"/>
  <c r="AR20" i="1"/>
  <c r="AP20" i="1"/>
  <c r="AJ20" i="1"/>
  <c r="AD20" i="1"/>
  <c r="X20" i="1"/>
  <c r="R20" i="1"/>
  <c r="G20" i="1"/>
  <c r="AR19" i="1"/>
  <c r="AP19" i="1"/>
  <c r="AJ19" i="1"/>
  <c r="AD19" i="1"/>
  <c r="X19" i="1"/>
  <c r="R19" i="1"/>
  <c r="G19" i="1"/>
  <c r="AR18" i="1"/>
  <c r="AP18" i="1"/>
  <c r="AJ18" i="1"/>
  <c r="AD18" i="1"/>
  <c r="X18" i="1"/>
  <c r="R18" i="1"/>
  <c r="G18" i="1"/>
  <c r="AR17" i="1"/>
  <c r="AP17" i="1"/>
  <c r="AJ17" i="1"/>
  <c r="AD17" i="1"/>
  <c r="X17" i="1"/>
  <c r="R17" i="1"/>
  <c r="G17" i="1"/>
  <c r="AR16" i="1"/>
  <c r="AP16" i="1"/>
  <c r="AJ16" i="1"/>
  <c r="AD16" i="1"/>
  <c r="X16" i="1"/>
  <c r="R16" i="1"/>
  <c r="G16" i="1"/>
  <c r="AO15" i="1"/>
  <c r="AN15" i="1"/>
  <c r="AM15" i="1"/>
  <c r="AL15" i="1"/>
  <c r="AI15" i="1"/>
  <c r="AH15" i="1"/>
  <c r="AG15" i="1"/>
  <c r="AF15" i="1"/>
  <c r="AC15" i="1"/>
  <c r="AB15" i="1"/>
  <c r="AA15" i="1"/>
  <c r="Z15" i="1"/>
  <c r="W15" i="1"/>
  <c r="V15" i="1"/>
  <c r="U15" i="1"/>
  <c r="T15" i="1"/>
  <c r="Q15" i="1"/>
  <c r="P15" i="1"/>
  <c r="O15" i="1"/>
  <c r="N15" i="1"/>
  <c r="F15" i="1"/>
  <c r="E15" i="1"/>
  <c r="AP14" i="1"/>
  <c r="AJ14" i="1"/>
  <c r="AD14" i="1"/>
  <c r="X14" i="1"/>
  <c r="R14" i="1"/>
  <c r="L14" i="1"/>
  <c r="K14" i="1"/>
  <c r="J14" i="1"/>
  <c r="I14" i="1"/>
  <c r="G14" i="1"/>
  <c r="AP13" i="1"/>
  <c r="AJ13" i="1"/>
  <c r="AD13" i="1"/>
  <c r="X13" i="1"/>
  <c r="R13" i="1"/>
  <c r="L13" i="1"/>
  <c r="K13" i="1"/>
  <c r="J13" i="1"/>
  <c r="I13" i="1"/>
  <c r="G13" i="1"/>
  <c r="AP12" i="1"/>
  <c r="AJ12" i="1"/>
  <c r="AD12" i="1"/>
  <c r="X12" i="1"/>
  <c r="R12" i="1"/>
  <c r="L12" i="1"/>
  <c r="K12" i="1"/>
  <c r="J12" i="1"/>
  <c r="I12" i="1"/>
  <c r="M12" i="1" s="1"/>
  <c r="G12" i="1"/>
  <c r="AO11" i="1"/>
  <c r="AN11" i="1"/>
  <c r="AM11" i="1"/>
  <c r="AL11" i="1"/>
  <c r="AI11" i="1"/>
  <c r="AH11" i="1"/>
  <c r="AG11" i="1"/>
  <c r="AF11" i="1"/>
  <c r="AC11" i="1"/>
  <c r="AB11" i="1"/>
  <c r="AA11" i="1"/>
  <c r="Z11" i="1"/>
  <c r="W11" i="1"/>
  <c r="V11" i="1"/>
  <c r="U11" i="1"/>
  <c r="T11" i="1"/>
  <c r="Q11" i="1"/>
  <c r="P11" i="1"/>
  <c r="O11" i="1"/>
  <c r="N11" i="1"/>
  <c r="F11" i="1"/>
  <c r="E11" i="1"/>
  <c r="AP10" i="1"/>
  <c r="AJ10" i="1"/>
  <c r="AD10" i="1"/>
  <c r="X10" i="1"/>
  <c r="R10" i="1"/>
  <c r="L10" i="1"/>
  <c r="K10" i="1"/>
  <c r="J10" i="1"/>
  <c r="I10" i="1"/>
  <c r="G10" i="1"/>
  <c r="AP9" i="1"/>
  <c r="AJ9" i="1"/>
  <c r="AD9" i="1"/>
  <c r="X9" i="1"/>
  <c r="R9" i="1"/>
  <c r="L9" i="1"/>
  <c r="K9" i="1"/>
  <c r="J9" i="1"/>
  <c r="I9" i="1"/>
  <c r="G9" i="1"/>
  <c r="AP8" i="1"/>
  <c r="AJ8" i="1"/>
  <c r="AD8" i="1"/>
  <c r="X8" i="1"/>
  <c r="R8" i="1"/>
  <c r="L8" i="1"/>
  <c r="K8" i="1"/>
  <c r="J8" i="1"/>
  <c r="I8" i="1"/>
  <c r="G8" i="1"/>
  <c r="AP7" i="1"/>
  <c r="AJ7" i="1"/>
  <c r="AD7" i="1"/>
  <c r="X7" i="1"/>
  <c r="R7" i="1"/>
  <c r="L7" i="1"/>
  <c r="K7" i="1"/>
  <c r="J7" i="1"/>
  <c r="I7" i="1"/>
  <c r="G7" i="1"/>
  <c r="AP6" i="1"/>
  <c r="AJ6" i="1"/>
  <c r="AD6" i="1"/>
  <c r="X6" i="1"/>
  <c r="R6" i="1"/>
  <c r="L6" i="1"/>
  <c r="K6" i="1"/>
  <c r="J6" i="1"/>
  <c r="I6" i="1"/>
  <c r="G6" i="1"/>
  <c r="AP5" i="1"/>
  <c r="AJ5" i="1"/>
  <c r="AD5" i="1"/>
  <c r="X5" i="1"/>
  <c r="R5" i="1"/>
  <c r="L5" i="1"/>
  <c r="K5" i="1"/>
  <c r="J5" i="1"/>
  <c r="I5" i="1"/>
  <c r="G5" i="1"/>
  <c r="AP4" i="1"/>
  <c r="AJ4" i="1"/>
  <c r="AD4" i="1"/>
  <c r="X4" i="1"/>
  <c r="R4" i="1"/>
  <c r="L4" i="1"/>
  <c r="K4" i="1"/>
  <c r="J4" i="1"/>
  <c r="I4" i="1"/>
  <c r="G4" i="1"/>
  <c r="AO3" i="1"/>
  <c r="AN3" i="1"/>
  <c r="AM3" i="1"/>
  <c r="AL3" i="1"/>
  <c r="AI3" i="1"/>
  <c r="AH3" i="1"/>
  <c r="AG3" i="1"/>
  <c r="AF3" i="1"/>
  <c r="AC3" i="1"/>
  <c r="AB3" i="1"/>
  <c r="AA3" i="1"/>
  <c r="Z3" i="1"/>
  <c r="W3" i="1"/>
  <c r="V3" i="1"/>
  <c r="U3" i="1"/>
  <c r="T3" i="1"/>
  <c r="Q3" i="1"/>
  <c r="P3" i="1"/>
  <c r="O3" i="1"/>
  <c r="N3" i="1"/>
  <c r="H3" i="1"/>
  <c r="F3" i="1"/>
  <c r="E3" i="1"/>
  <c r="G23" i="2" l="1"/>
  <c r="K48" i="2"/>
  <c r="G40" i="2"/>
  <c r="R54" i="2"/>
  <c r="AP54" i="2"/>
  <c r="M12" i="2"/>
  <c r="AK12" i="2" s="1"/>
  <c r="R31" i="2"/>
  <c r="G44" i="2"/>
  <c r="M19" i="2"/>
  <c r="AK19" i="2" s="1"/>
  <c r="M20" i="2"/>
  <c r="AK20" i="2" s="1"/>
  <c r="X31" i="2"/>
  <c r="X54" i="2"/>
  <c r="AJ54" i="2"/>
  <c r="G31" i="2"/>
  <c r="M41" i="2"/>
  <c r="M42" i="2"/>
  <c r="AK42" i="2" s="1"/>
  <c r="M32" i="2"/>
  <c r="Y32" i="2" s="1"/>
  <c r="M37" i="2"/>
  <c r="AK37" i="2" s="1"/>
  <c r="AP40" i="2"/>
  <c r="I3" i="2"/>
  <c r="AD3" i="2"/>
  <c r="AP15" i="2"/>
  <c r="M17" i="2"/>
  <c r="M36" i="2"/>
  <c r="Y36" i="2" s="1"/>
  <c r="AD44" i="2"/>
  <c r="AJ48" i="2"/>
  <c r="S50" i="2"/>
  <c r="J3" i="2"/>
  <c r="M10" i="2"/>
  <c r="AK10" i="2" s="1"/>
  <c r="AD15" i="2"/>
  <c r="M27" i="2"/>
  <c r="AK41" i="2"/>
  <c r="G13" i="2"/>
  <c r="X23" i="2"/>
  <c r="AP31" i="2"/>
  <c r="M50" i="2"/>
  <c r="X3" i="2"/>
  <c r="AJ3" i="2"/>
  <c r="R11" i="2"/>
  <c r="M13" i="2"/>
  <c r="AE13" i="2" s="1"/>
  <c r="R40" i="2"/>
  <c r="X44" i="2"/>
  <c r="M16" i="2"/>
  <c r="Y16" i="2" s="1"/>
  <c r="AD48" i="2"/>
  <c r="M51" i="2"/>
  <c r="Y51" i="2" s="1"/>
  <c r="M55" i="2"/>
  <c r="AK55" i="2" s="1"/>
  <c r="M8" i="2"/>
  <c r="AK8" i="2" s="1"/>
  <c r="K11" i="2"/>
  <c r="AP11" i="2"/>
  <c r="G15" i="2"/>
  <c r="K15" i="2"/>
  <c r="M29" i="2"/>
  <c r="AK29" i="2" s="1"/>
  <c r="M39" i="2"/>
  <c r="AK39" i="2" s="1"/>
  <c r="X40" i="2"/>
  <c r="M56" i="2"/>
  <c r="AE56" i="2" s="1"/>
  <c r="AK51" i="2"/>
  <c r="AK17" i="2"/>
  <c r="S17" i="2"/>
  <c r="AQ17" i="2"/>
  <c r="AK27" i="2"/>
  <c r="AQ27" i="2"/>
  <c r="S27" i="2"/>
  <c r="F11" i="2"/>
  <c r="G11" i="2" s="1"/>
  <c r="G14" i="2"/>
  <c r="AQ39" i="2"/>
  <c r="AR39" i="2" s="1"/>
  <c r="M4" i="2"/>
  <c r="AK4" i="2" s="1"/>
  <c r="I11" i="2"/>
  <c r="Y17" i="2"/>
  <c r="AD23" i="2"/>
  <c r="Y27" i="2"/>
  <c r="M35" i="2"/>
  <c r="AE35" i="2" s="1"/>
  <c r="G48" i="2"/>
  <c r="L48" i="2"/>
  <c r="S53" i="2"/>
  <c r="R3" i="2"/>
  <c r="M9" i="2"/>
  <c r="AQ9" i="2" s="1"/>
  <c r="J11" i="2"/>
  <c r="AJ15" i="2"/>
  <c r="AE17" i="2"/>
  <c r="M18" i="2"/>
  <c r="AQ18" i="2" s="1"/>
  <c r="AJ23" i="2"/>
  <c r="AE27" i="2"/>
  <c r="M28" i="2"/>
  <c r="AQ28" i="2" s="1"/>
  <c r="AQ29" i="2"/>
  <c r="AR29" i="2" s="1"/>
  <c r="AQ41" i="2"/>
  <c r="Y53" i="2"/>
  <c r="S10" i="2"/>
  <c r="AE30" i="2"/>
  <c r="I40" i="2"/>
  <c r="I44" i="2"/>
  <c r="J48" i="2"/>
  <c r="Y50" i="2"/>
  <c r="AQ50" i="2"/>
  <c r="AQ55" i="2"/>
  <c r="AR55" i="2" s="1"/>
  <c r="K3" i="2"/>
  <c r="AQ10" i="2"/>
  <c r="L23" i="2"/>
  <c r="L31" i="2"/>
  <c r="AQ36" i="2"/>
  <c r="L40" i="2"/>
  <c r="J40" i="2"/>
  <c r="AP48" i="2"/>
  <c r="I54" i="2"/>
  <c r="M6" i="2"/>
  <c r="AK6" i="2" s="1"/>
  <c r="L15" i="2"/>
  <c r="M33" i="2"/>
  <c r="AK33" i="2" s="1"/>
  <c r="J44" i="2"/>
  <c r="M52" i="2"/>
  <c r="Y52" i="2" s="1"/>
  <c r="AQ53" i="2"/>
  <c r="AR53" i="2" s="1"/>
  <c r="L54" i="2"/>
  <c r="J54" i="2"/>
  <c r="M14" i="2"/>
  <c r="AQ14" i="2" s="1"/>
  <c r="J23" i="2"/>
  <c r="AP23" i="2"/>
  <c r="S29" i="2"/>
  <c r="M38" i="2"/>
  <c r="AK38" i="2" s="1"/>
  <c r="S41" i="2"/>
  <c r="K44" i="2"/>
  <c r="X48" i="2"/>
  <c r="M7" i="2"/>
  <c r="Y7" i="2" s="1"/>
  <c r="J15" i="2"/>
  <c r="M21" i="2"/>
  <c r="AE21" i="2" s="1"/>
  <c r="K23" i="2"/>
  <c r="M26" i="2"/>
  <c r="Y26" i="2" s="1"/>
  <c r="Y29" i="2"/>
  <c r="AJ31" i="2"/>
  <c r="S36" i="2"/>
  <c r="AJ40" i="2"/>
  <c r="Y41" i="2"/>
  <c r="L3" i="2"/>
  <c r="AP3" i="2"/>
  <c r="AE6" i="2"/>
  <c r="L11" i="2"/>
  <c r="AE14" i="2"/>
  <c r="X15" i="2"/>
  <c r="M22" i="2"/>
  <c r="AE26" i="2"/>
  <c r="K31" i="2"/>
  <c r="I31" i="2"/>
  <c r="AD31" i="2"/>
  <c r="AJ44" i="2"/>
  <c r="AQ5" i="2"/>
  <c r="S5" i="2"/>
  <c r="AK5" i="2"/>
  <c r="AR5" i="2" s="1"/>
  <c r="AK52" i="2"/>
  <c r="AE52" i="2"/>
  <c r="S4" i="2"/>
  <c r="AE36" i="2"/>
  <c r="R44" i="2"/>
  <c r="M45" i="2"/>
  <c r="AQ45" i="2" s="1"/>
  <c r="R48" i="2"/>
  <c r="M49" i="2"/>
  <c r="AE49" i="2" s="1"/>
  <c r="S52" i="2"/>
  <c r="AK16" i="2"/>
  <c r="AE16" i="2"/>
  <c r="Y33" i="2"/>
  <c r="Y6" i="2"/>
  <c r="AQ6" i="2"/>
  <c r="AQ12" i="2"/>
  <c r="AR12" i="2" s="1"/>
  <c r="AQ16" i="2"/>
  <c r="M24" i="2"/>
  <c r="Y24" i="2" s="1"/>
  <c r="M46" i="2"/>
  <c r="Y46" i="2" s="1"/>
  <c r="AK50" i="2"/>
  <c r="AE50" i="2"/>
  <c r="Y5" i="2"/>
  <c r="AJ11" i="2"/>
  <c r="AK13" i="2"/>
  <c r="R15" i="2"/>
  <c r="I15" i="2"/>
  <c r="Y30" i="2"/>
  <c r="AQ30" i="2"/>
  <c r="AR30" i="2" s="1"/>
  <c r="S30" i="2"/>
  <c r="M34" i="2"/>
  <c r="Y34" i="2" s="1"/>
  <c r="Y42" i="2"/>
  <c r="AQ42" i="2"/>
  <c r="AR42" i="2" s="1"/>
  <c r="S42" i="2"/>
  <c r="M43" i="2"/>
  <c r="AK43" i="2" s="1"/>
  <c r="L44" i="2"/>
  <c r="AP44" i="2"/>
  <c r="AQ4" i="2"/>
  <c r="R23" i="2"/>
  <c r="AE32" i="2"/>
  <c r="Y38" i="2"/>
  <c r="AE5" i="2"/>
  <c r="S16" i="2"/>
  <c r="AQ20" i="2"/>
  <c r="AR20" i="2" s="1"/>
  <c r="Y21" i="2"/>
  <c r="M25" i="2"/>
  <c r="AK25" i="2" s="1"/>
  <c r="M47" i="2"/>
  <c r="AE47" i="2" s="1"/>
  <c r="I23" i="2"/>
  <c r="I48" i="2"/>
  <c r="AD11" i="2"/>
  <c r="AD40" i="2"/>
  <c r="AD54" i="2"/>
  <c r="AE10" i="2"/>
  <c r="AE19" i="2"/>
  <c r="AE29" i="2"/>
  <c r="AE41" i="2"/>
  <c r="AE53" i="2"/>
  <c r="AJ23" i="1"/>
  <c r="J31" i="1"/>
  <c r="K44" i="1"/>
  <c r="M53" i="1"/>
  <c r="AE53" i="1" s="1"/>
  <c r="G54" i="1"/>
  <c r="M55" i="1"/>
  <c r="AE55" i="1" s="1"/>
  <c r="M27" i="1"/>
  <c r="AQ27" i="1" s="1"/>
  <c r="X44" i="1"/>
  <c r="I48" i="1"/>
  <c r="AD48" i="1"/>
  <c r="I54" i="1"/>
  <c r="R3" i="1"/>
  <c r="AD3" i="1"/>
  <c r="Y7" i="1"/>
  <c r="X11" i="1"/>
  <c r="M28" i="1"/>
  <c r="AQ28" i="1" s="1"/>
  <c r="J54" i="1"/>
  <c r="M6" i="1"/>
  <c r="AQ6" i="1" s="1"/>
  <c r="J11" i="1"/>
  <c r="M26" i="1"/>
  <c r="Y26" i="1" s="1"/>
  <c r="M7" i="1"/>
  <c r="AE7" i="1" s="1"/>
  <c r="M10" i="1"/>
  <c r="AK10" i="1" s="1"/>
  <c r="I11" i="1"/>
  <c r="AD23" i="1"/>
  <c r="AP23" i="1"/>
  <c r="M25" i="1"/>
  <c r="AK25" i="1" s="1"/>
  <c r="G48" i="1"/>
  <c r="L3" i="1"/>
  <c r="AD11" i="1"/>
  <c r="X15" i="1"/>
  <c r="AJ15" i="1"/>
  <c r="X23" i="1"/>
  <c r="M36" i="1"/>
  <c r="S36" i="1" s="1"/>
  <c r="AP40" i="1"/>
  <c r="G44" i="1"/>
  <c r="L31" i="1"/>
  <c r="M52" i="1"/>
  <c r="AK52" i="1" s="1"/>
  <c r="L54" i="1"/>
  <c r="AD31" i="1"/>
  <c r="AP31" i="1"/>
  <c r="M37" i="1"/>
  <c r="AE37" i="1" s="1"/>
  <c r="X40" i="1"/>
  <c r="M46" i="1"/>
  <c r="M34" i="1"/>
  <c r="AE34" i="1" s="1"/>
  <c r="G40" i="1"/>
  <c r="AD15" i="1"/>
  <c r="R11" i="1"/>
  <c r="L15" i="1"/>
  <c r="L23" i="1"/>
  <c r="K40" i="1"/>
  <c r="J44" i="1"/>
  <c r="AP54" i="1"/>
  <c r="S7" i="1"/>
  <c r="X3" i="1"/>
  <c r="AP11" i="1"/>
  <c r="J15" i="1"/>
  <c r="J23" i="1"/>
  <c r="AD40" i="1"/>
  <c r="M41" i="1"/>
  <c r="Y41" i="1" s="1"/>
  <c r="AD44" i="1"/>
  <c r="M47" i="1"/>
  <c r="Y47" i="1" s="1"/>
  <c r="M51" i="1"/>
  <c r="Y51" i="1" s="1"/>
  <c r="AJ54" i="1"/>
  <c r="J40" i="1"/>
  <c r="G3" i="1"/>
  <c r="M8" i="1"/>
  <c r="AQ8" i="1" s="1"/>
  <c r="L11" i="1"/>
  <c r="G15" i="1"/>
  <c r="M30" i="1"/>
  <c r="AQ30" i="1" s="1"/>
  <c r="AJ31" i="1"/>
  <c r="M42" i="1"/>
  <c r="AE42" i="1" s="1"/>
  <c r="M43" i="1"/>
  <c r="Y43" i="1" s="1"/>
  <c r="X54" i="1"/>
  <c r="G11" i="1"/>
  <c r="AJ3" i="1"/>
  <c r="K54" i="1"/>
  <c r="AK7" i="1"/>
  <c r="AP15" i="1"/>
  <c r="X31" i="1"/>
  <c r="M32" i="1"/>
  <c r="S32" i="1" s="1"/>
  <c r="K48" i="1"/>
  <c r="AJ48" i="1"/>
  <c r="M49" i="1"/>
  <c r="Y49" i="1" s="1"/>
  <c r="M35" i="1"/>
  <c r="AK35" i="1" s="1"/>
  <c r="M45" i="1"/>
  <c r="Y45" i="1" s="1"/>
  <c r="AQ52" i="1"/>
  <c r="AR52" i="1" s="1"/>
  <c r="AK46" i="1"/>
  <c r="Y46" i="1"/>
  <c r="AJ44" i="1"/>
  <c r="I44" i="1"/>
  <c r="AQ46" i="1"/>
  <c r="K11" i="1"/>
  <c r="M14" i="1"/>
  <c r="I31" i="1"/>
  <c r="M38" i="1"/>
  <c r="AK38" i="1" s="1"/>
  <c r="R44" i="1"/>
  <c r="R48" i="1"/>
  <c r="R54" i="1"/>
  <c r="S46" i="1"/>
  <c r="J48" i="1"/>
  <c r="S12" i="1"/>
  <c r="R23" i="1"/>
  <c r="I23" i="1"/>
  <c r="AQ26" i="1"/>
  <c r="Y27" i="1"/>
  <c r="K31" i="1"/>
  <c r="L40" i="1"/>
  <c r="K3" i="1"/>
  <c r="AQ7" i="1"/>
  <c r="R15" i="1"/>
  <c r="I15" i="1"/>
  <c r="M39" i="1"/>
  <c r="Y39" i="1" s="1"/>
  <c r="R40" i="1"/>
  <c r="L44" i="1"/>
  <c r="AP44" i="1"/>
  <c r="L48" i="1"/>
  <c r="AP48" i="1"/>
  <c r="S52" i="1"/>
  <c r="M56" i="1"/>
  <c r="AK56" i="1" s="1"/>
  <c r="M4" i="1"/>
  <c r="Y4" i="1" s="1"/>
  <c r="M5" i="1"/>
  <c r="AK5" i="1" s="1"/>
  <c r="AJ11" i="1"/>
  <c r="M13" i="1"/>
  <c r="AK13" i="1" s="1"/>
  <c r="K23" i="1"/>
  <c r="M24" i="1"/>
  <c r="Y24" i="1" s="1"/>
  <c r="R31" i="1"/>
  <c r="AE36" i="1"/>
  <c r="Y38" i="1"/>
  <c r="I40" i="1"/>
  <c r="AE46" i="1"/>
  <c r="X48" i="1"/>
  <c r="M50" i="1"/>
  <c r="AK50" i="1" s="1"/>
  <c r="Y8" i="1"/>
  <c r="K15" i="1"/>
  <c r="S35" i="1"/>
  <c r="AJ40" i="1"/>
  <c r="AQ53" i="1"/>
  <c r="I3" i="1"/>
  <c r="J3" i="1"/>
  <c r="AP3" i="1"/>
  <c r="M9" i="1"/>
  <c r="AE9" i="1" s="1"/>
  <c r="AK24" i="1"/>
  <c r="M29" i="1"/>
  <c r="S29" i="1" s="1"/>
  <c r="G31" i="1"/>
  <c r="M33" i="1"/>
  <c r="Y35" i="1"/>
  <c r="AE52" i="1"/>
  <c r="AD54" i="1"/>
  <c r="S13" i="2" l="1"/>
  <c r="S32" i="2"/>
  <c r="Y19" i="2"/>
  <c r="AK32" i="2"/>
  <c r="Y20" i="2"/>
  <c r="Y4" i="2"/>
  <c r="Y13" i="2"/>
  <c r="S12" i="2"/>
  <c r="AQ32" i="2"/>
  <c r="S18" i="2"/>
  <c r="AE51" i="2"/>
  <c r="AR41" i="2"/>
  <c r="AK18" i="2"/>
  <c r="AR18" i="2" s="1"/>
  <c r="AE39" i="2"/>
  <c r="Y12" i="2"/>
  <c r="AK36" i="2"/>
  <c r="AR36" i="2" s="1"/>
  <c r="AE4" i="2"/>
  <c r="S19" i="2"/>
  <c r="AQ52" i="2"/>
  <c r="AR52" i="2" s="1"/>
  <c r="S6" i="2"/>
  <c r="AE12" i="2"/>
  <c r="AE42" i="2"/>
  <c r="AQ19" i="2"/>
  <c r="AQ37" i="2"/>
  <c r="AR37" i="2" s="1"/>
  <c r="AE20" i="2"/>
  <c r="Y37" i="2"/>
  <c r="Y14" i="2"/>
  <c r="S37" i="2"/>
  <c r="AK26" i="2"/>
  <c r="AE8" i="2"/>
  <c r="AQ8" i="2"/>
  <c r="AR8" i="2" s="1"/>
  <c r="AK56" i="2"/>
  <c r="AQ56" i="2"/>
  <c r="AE37" i="2"/>
  <c r="S8" i="2"/>
  <c r="AK47" i="2"/>
  <c r="AR19" i="2"/>
  <c r="Y8" i="2"/>
  <c r="AR10" i="2"/>
  <c r="S20" i="2"/>
  <c r="M44" i="2"/>
  <c r="AE44" i="2" s="1"/>
  <c r="S51" i="2"/>
  <c r="S35" i="2"/>
  <c r="AQ13" i="2"/>
  <c r="AR13" i="2" s="1"/>
  <c r="AQ33" i="2"/>
  <c r="AQ35" i="2"/>
  <c r="S56" i="2"/>
  <c r="AK9" i="2"/>
  <c r="AR9" i="2" s="1"/>
  <c r="Y55" i="2"/>
  <c r="S39" i="2"/>
  <c r="S26" i="2"/>
  <c r="AQ51" i="2"/>
  <c r="AK35" i="2"/>
  <c r="AK21" i="2"/>
  <c r="Y28" i="2"/>
  <c r="AE33" i="2"/>
  <c r="AK28" i="2"/>
  <c r="AR28" i="2" s="1"/>
  <c r="Y56" i="2"/>
  <c r="AR17" i="2"/>
  <c r="AE55" i="2"/>
  <c r="S33" i="2"/>
  <c r="AE28" i="2"/>
  <c r="AE9" i="2"/>
  <c r="Y39" i="2"/>
  <c r="Y10" i="2"/>
  <c r="S28" i="2"/>
  <c r="AK49" i="2"/>
  <c r="S7" i="2"/>
  <c r="M40" i="2"/>
  <c r="AK40" i="2" s="1"/>
  <c r="S55" i="2"/>
  <c r="M54" i="2"/>
  <c r="AK54" i="2" s="1"/>
  <c r="M3" i="2"/>
  <c r="AE38" i="2"/>
  <c r="M31" i="2"/>
  <c r="AQ31" i="2" s="1"/>
  <c r="S14" i="2"/>
  <c r="M48" i="2"/>
  <c r="Y18" i="2"/>
  <c r="AQ7" i="2"/>
  <c r="AE25" i="2"/>
  <c r="AE7" i="2"/>
  <c r="Y35" i="2"/>
  <c r="AK14" i="2"/>
  <c r="AR14" i="2" s="1"/>
  <c r="S21" i="2"/>
  <c r="M23" i="2"/>
  <c r="AK23" i="2" s="1"/>
  <c r="AQ21" i="2"/>
  <c r="AE18" i="2"/>
  <c r="AR4" i="2"/>
  <c r="M15" i="2"/>
  <c r="Y15" i="2" s="1"/>
  <c r="AK7" i="2"/>
  <c r="AQ26" i="2"/>
  <c r="AR26" i="2" s="1"/>
  <c r="AR50" i="2"/>
  <c r="S43" i="2"/>
  <c r="M11" i="2"/>
  <c r="AQ11" i="2" s="1"/>
  <c r="AQ43" i="2"/>
  <c r="AR43" i="2" s="1"/>
  <c r="Y9" i="2"/>
  <c r="S9" i="2"/>
  <c r="AR27" i="2"/>
  <c r="AR51" i="2"/>
  <c r="S38" i="2"/>
  <c r="AQ38" i="2"/>
  <c r="AR38" i="2" s="1"/>
  <c r="Y44" i="2"/>
  <c r="AE3" i="2"/>
  <c r="Y3" i="2"/>
  <c r="S45" i="2"/>
  <c r="AE43" i="2"/>
  <c r="Y43" i="2"/>
  <c r="AK44" i="2"/>
  <c r="AE40" i="2"/>
  <c r="S44" i="2"/>
  <c r="AQ34" i="2"/>
  <c r="S34" i="2"/>
  <c r="AK34" i="2"/>
  <c r="AE34" i="2"/>
  <c r="AK45" i="2"/>
  <c r="AR45" i="2" s="1"/>
  <c r="Y25" i="2"/>
  <c r="AQ25" i="2"/>
  <c r="AR25" i="2" s="1"/>
  <c r="S25" i="2"/>
  <c r="Y23" i="2"/>
  <c r="AQ46" i="2"/>
  <c r="S46" i="2"/>
  <c r="AK46" i="2"/>
  <c r="AE46" i="2"/>
  <c r="AR6" i="2"/>
  <c r="AQ3" i="2"/>
  <c r="Y49" i="2"/>
  <c r="AQ49" i="2"/>
  <c r="AR49" i="2" s="1"/>
  <c r="S49" i="2"/>
  <c r="Y47" i="2"/>
  <c r="AQ47" i="2"/>
  <c r="S47" i="2"/>
  <c r="S3" i="2"/>
  <c r="AK3" i="2"/>
  <c r="AQ24" i="2"/>
  <c r="S24" i="2"/>
  <c r="AK24" i="2"/>
  <c r="AE24" i="2"/>
  <c r="Y22" i="2"/>
  <c r="AQ22" i="2"/>
  <c r="S22" i="2"/>
  <c r="AK22" i="2"/>
  <c r="AE22" i="2"/>
  <c r="AQ44" i="2"/>
  <c r="AR16" i="2"/>
  <c r="AE45" i="2"/>
  <c r="Y45" i="2"/>
  <c r="AR33" i="2"/>
  <c r="S49" i="1"/>
  <c r="S28" i="1"/>
  <c r="AK32" i="1"/>
  <c r="S30" i="1"/>
  <c r="S45" i="1"/>
  <c r="AE30" i="1"/>
  <c r="Y30" i="1"/>
  <c r="AQ25" i="1"/>
  <c r="AR25" i="1" s="1"/>
  <c r="S37" i="1"/>
  <c r="Y56" i="1"/>
  <c r="AQ43" i="1"/>
  <c r="AK43" i="1"/>
  <c r="AQ35" i="1"/>
  <c r="AR35" i="1" s="1"/>
  <c r="Y6" i="1"/>
  <c r="AK27" i="1"/>
  <c r="AR27" i="1" s="1"/>
  <c r="AQ45" i="1"/>
  <c r="S27" i="1"/>
  <c r="AE27" i="1"/>
  <c r="AQ32" i="1"/>
  <c r="S8" i="1"/>
  <c r="Y5" i="1"/>
  <c r="AE26" i="1"/>
  <c r="Y53" i="1"/>
  <c r="AK28" i="1"/>
  <c r="AR28" i="1" s="1"/>
  <c r="AE28" i="1"/>
  <c r="Y28" i="1"/>
  <c r="AE8" i="1"/>
  <c r="M11" i="1"/>
  <c r="AE10" i="1"/>
  <c r="AQ37" i="1"/>
  <c r="S47" i="1"/>
  <c r="S10" i="1"/>
  <c r="AK41" i="1"/>
  <c r="AQ55" i="1"/>
  <c r="Y37" i="1"/>
  <c r="S6" i="1"/>
  <c r="AQ41" i="1"/>
  <c r="AK47" i="1"/>
  <c r="AE47" i="1"/>
  <c r="Y42" i="1"/>
  <c r="AK34" i="1"/>
  <c r="Y10" i="1"/>
  <c r="AQ47" i="1"/>
  <c r="AQ42" i="1"/>
  <c r="AE41" i="1"/>
  <c r="M54" i="1"/>
  <c r="AQ54" i="1" s="1"/>
  <c r="AK6" i="1"/>
  <c r="AR6" i="1" s="1"/>
  <c r="AK53" i="1"/>
  <c r="AK42" i="1"/>
  <c r="AK29" i="1"/>
  <c r="S26" i="1"/>
  <c r="Y55" i="1"/>
  <c r="AE6" i="1"/>
  <c r="AK26" i="1"/>
  <c r="AR26" i="1" s="1"/>
  <c r="AK55" i="1"/>
  <c r="AR55" i="1" s="1"/>
  <c r="Y25" i="1"/>
  <c r="AK37" i="1"/>
  <c r="AQ10" i="1"/>
  <c r="AR10" i="1" s="1"/>
  <c r="AR7" i="1"/>
  <c r="S55" i="1"/>
  <c r="S53" i="1"/>
  <c r="Y34" i="1"/>
  <c r="AK30" i="1"/>
  <c r="AR30" i="1" s="1"/>
  <c r="AE25" i="1"/>
  <c r="S43" i="1"/>
  <c r="AK39" i="1"/>
  <c r="AK36" i="1"/>
  <c r="AQ36" i="1"/>
  <c r="Y36" i="1"/>
  <c r="AQ29" i="1"/>
  <c r="S25" i="1"/>
  <c r="AE43" i="1"/>
  <c r="AR43" i="1"/>
  <c r="Y52" i="1"/>
  <c r="AQ34" i="1"/>
  <c r="AQ12" i="1"/>
  <c r="S34" i="1"/>
  <c r="S11" i="1"/>
  <c r="Y11" i="1"/>
  <c r="M3" i="1"/>
  <c r="Y3" i="1" s="1"/>
  <c r="S41" i="1"/>
  <c r="AE32" i="1"/>
  <c r="AK8" i="1"/>
  <c r="AR8" i="1" s="1"/>
  <c r="AE49" i="1"/>
  <c r="M15" i="1"/>
  <c r="AQ15" i="1" s="1"/>
  <c r="M40" i="1"/>
  <c r="AQ40" i="1" s="1"/>
  <c r="Y50" i="1"/>
  <c r="AK49" i="1"/>
  <c r="Y32" i="1"/>
  <c r="AQ51" i="1"/>
  <c r="AR32" i="1"/>
  <c r="AK51" i="1"/>
  <c r="AR51" i="1" s="1"/>
  <c r="S51" i="1"/>
  <c r="AE51" i="1"/>
  <c r="AK45" i="1"/>
  <c r="AQ49" i="1"/>
  <c r="S42" i="1"/>
  <c r="AE45" i="1"/>
  <c r="AE35" i="1"/>
  <c r="Y12" i="1"/>
  <c r="AK12" i="1"/>
  <c r="AR12" i="1" s="1"/>
  <c r="AE12" i="1"/>
  <c r="AE38" i="1"/>
  <c r="S38" i="1"/>
  <c r="AQ38" i="1"/>
  <c r="AR38" i="1" s="1"/>
  <c r="Y13" i="1"/>
  <c r="AE5" i="1"/>
  <c r="AQ33" i="1"/>
  <c r="S33" i="1"/>
  <c r="AE33" i="1"/>
  <c r="AE39" i="1"/>
  <c r="Y9" i="1"/>
  <c r="AQ9" i="1"/>
  <c r="AE4" i="1"/>
  <c r="S4" i="1"/>
  <c r="AQ4" i="1"/>
  <c r="AK4" i="1"/>
  <c r="AR53" i="1"/>
  <c r="AQ39" i="1"/>
  <c r="AR39" i="1" s="1"/>
  <c r="AE24" i="1"/>
  <c r="S24" i="1"/>
  <c r="AQ24" i="1"/>
  <c r="AR24" i="1" s="1"/>
  <c r="M48" i="1"/>
  <c r="AQ48" i="1" s="1"/>
  <c r="M31" i="1"/>
  <c r="S31" i="1" s="1"/>
  <c r="AE50" i="1"/>
  <c r="AQ50" i="1"/>
  <c r="AR50" i="1" s="1"/>
  <c r="S50" i="1"/>
  <c r="AE13" i="1"/>
  <c r="S14" i="1"/>
  <c r="AQ14" i="1"/>
  <c r="Y14" i="1"/>
  <c r="AE14" i="1"/>
  <c r="AE11" i="1"/>
  <c r="Y29" i="1"/>
  <c r="AE29" i="1"/>
  <c r="M23" i="1"/>
  <c r="S23" i="1" s="1"/>
  <c r="M44" i="1"/>
  <c r="S5" i="1"/>
  <c r="AQ13" i="1"/>
  <c r="AR13" i="1" s="1"/>
  <c r="S13" i="1"/>
  <c r="AQ56" i="1"/>
  <c r="AR56" i="1" s="1"/>
  <c r="S56" i="1"/>
  <c r="AE56" i="1"/>
  <c r="AQ11" i="1"/>
  <c r="AR46" i="1"/>
  <c r="S9" i="1"/>
  <c r="AK33" i="1"/>
  <c r="AK11" i="1"/>
  <c r="AK9" i="1"/>
  <c r="AK14" i="1"/>
  <c r="S39" i="1"/>
  <c r="Y33" i="1"/>
  <c r="AQ5" i="1"/>
  <c r="AR5" i="1" s="1"/>
  <c r="AR47" i="2" l="1"/>
  <c r="Y54" i="2"/>
  <c r="AE31" i="2"/>
  <c r="S23" i="2"/>
  <c r="AR32" i="2"/>
  <c r="AR56" i="2"/>
  <c r="AR24" i="2"/>
  <c r="AR35" i="2"/>
  <c r="AR21" i="2"/>
  <c r="AR7" i="2"/>
  <c r="AK11" i="2"/>
  <c r="AR11" i="2" s="1"/>
  <c r="AE23" i="2"/>
  <c r="S40" i="2"/>
  <c r="AK31" i="2"/>
  <c r="AR31" i="2" s="1"/>
  <c r="AQ40" i="2"/>
  <c r="AR40" i="2" s="1"/>
  <c r="AR34" i="2"/>
  <c r="S54" i="2"/>
  <c r="Y11" i="2"/>
  <c r="Y40" i="2"/>
  <c r="AQ54" i="2"/>
  <c r="AR54" i="2" s="1"/>
  <c r="AE54" i="2"/>
  <c r="AE48" i="2"/>
  <c r="Y48" i="2"/>
  <c r="AK15" i="2"/>
  <c r="AE15" i="2"/>
  <c r="AQ15" i="2"/>
  <c r="AR22" i="2"/>
  <c r="S11" i="2"/>
  <c r="Y31" i="2"/>
  <c r="S31" i="2"/>
  <c r="AQ48" i="2"/>
  <c r="AE11" i="2"/>
  <c r="S48" i="2"/>
  <c r="AK48" i="2"/>
  <c r="S15" i="2"/>
  <c r="AQ23" i="2"/>
  <c r="AR23" i="2" s="1"/>
  <c r="AR44" i="2"/>
  <c r="AR3" i="2"/>
  <c r="AR46" i="2"/>
  <c r="AK3" i="1"/>
  <c r="AR29" i="1"/>
  <c r="S3" i="1"/>
  <c r="Y48" i="1"/>
  <c r="AR47" i="1"/>
  <c r="AE15" i="1"/>
  <c r="AR45" i="1"/>
  <c r="AR41" i="1"/>
  <c r="S40" i="1"/>
  <c r="AR37" i="1"/>
  <c r="AE54" i="1"/>
  <c r="S54" i="1"/>
  <c r="AR42" i="1"/>
  <c r="AK54" i="1"/>
  <c r="AE3" i="1"/>
  <c r="AR34" i="1"/>
  <c r="AR14" i="1"/>
  <c r="AQ3" i="1"/>
  <c r="AR3" i="1" s="1"/>
  <c r="Y54" i="1"/>
  <c r="AR9" i="1"/>
  <c r="AR36" i="1"/>
  <c r="S48" i="1"/>
  <c r="AR54" i="1"/>
  <c r="Y15" i="1"/>
  <c r="AR11" i="1"/>
  <c r="S15" i="1"/>
  <c r="AK40" i="1"/>
  <c r="AR40" i="1" s="1"/>
  <c r="Y40" i="1"/>
  <c r="AR49" i="1"/>
  <c r="AK15" i="1"/>
  <c r="AR15" i="1" s="1"/>
  <c r="AE40" i="1"/>
  <c r="AE44" i="1"/>
  <c r="Y44" i="1"/>
  <c r="S44" i="1"/>
  <c r="AK44" i="1"/>
  <c r="AQ44" i="1"/>
  <c r="Y31" i="1"/>
  <c r="AK31" i="1"/>
  <c r="AE31" i="1"/>
  <c r="AQ31" i="1"/>
  <c r="AR4" i="1"/>
  <c r="AK48" i="1"/>
  <c r="AR48" i="1" s="1"/>
  <c r="AE48" i="1"/>
  <c r="AK23" i="1"/>
  <c r="AQ23" i="1"/>
  <c r="AE23" i="1"/>
  <c r="Y23" i="1"/>
  <c r="AR33" i="1"/>
  <c r="AR15" i="2" l="1"/>
  <c r="AR48" i="2"/>
  <c r="AR31" i="1"/>
  <c r="AR44" i="1"/>
  <c r="AR23" i="1"/>
</calcChain>
</file>

<file path=xl/sharedStrings.xml><?xml version="1.0" encoding="utf-8"?>
<sst xmlns="http://schemas.openxmlformats.org/spreadsheetml/2006/main" count="364" uniqueCount="133">
  <si>
    <t>RECAPITULATION PRETEST LECTURE 2021-2022</t>
  </si>
  <si>
    <t>EFFECTIF DES ELEVES AYANT FAIT LE TEST</t>
  </si>
  <si>
    <t>N°</t>
  </si>
  <si>
    <t>DREN</t>
  </si>
  <si>
    <t>CISCO</t>
  </si>
  <si>
    <t>MOIS et ANNEE DE TEST</t>
  </si>
  <si>
    <t># TOTAL EPP</t>
  </si>
  <si>
    <t># TOTAL EPP AYANT REMIS DE TEST</t>
  </si>
  <si>
    <t>% COLLECTE</t>
  </si>
  <si>
    <t>EFFECTIF DES ELEVES</t>
  </si>
  <si>
    <t>T2</t>
  </si>
  <si>
    <t>T3</t>
  </si>
  <si>
    <t>T4</t>
  </si>
  <si>
    <t>T5</t>
  </si>
  <si>
    <t xml:space="preserve">TOTAL PRESENT AU TEST </t>
  </si>
  <si>
    <t>TOTAL DEBUTANT</t>
  </si>
  <si>
    <t>% DEBUTANT</t>
  </si>
  <si>
    <t>TOTAL LETTRE</t>
  </si>
  <si>
    <t>% LETTRE</t>
  </si>
  <si>
    <t>Total MOT</t>
  </si>
  <si>
    <t>%  MOT</t>
  </si>
  <si>
    <t>TOTAL PARAGRAPHE</t>
  </si>
  <si>
    <t xml:space="preserve">% PARAGRAPHE </t>
  </si>
  <si>
    <t>TOTAL HISTOIRE</t>
  </si>
  <si>
    <t>% HISTOIRE</t>
  </si>
  <si>
    <t>% 
QUI SAVE LIRE</t>
  </si>
  <si>
    <t>TOTAL ATSINANANA</t>
  </si>
  <si>
    <t>ATSINANANA</t>
  </si>
  <si>
    <t>ANTANAMBAO MANAMPOTSY</t>
  </si>
  <si>
    <t>dec-21</t>
  </si>
  <si>
    <t>BRICKAVILLE</t>
  </si>
  <si>
    <t>MAHANORO</t>
  </si>
  <si>
    <t>MAROLAMBO</t>
  </si>
  <si>
    <t>TOAMASINA I</t>
  </si>
  <si>
    <t>TOAMASINA II</t>
  </si>
  <si>
    <t>VATOMANDRY</t>
  </si>
  <si>
    <t>TOTAL BETSIBOKA</t>
  </si>
  <si>
    <t>BETSIBOKA</t>
  </si>
  <si>
    <t>MAEVATANANA</t>
  </si>
  <si>
    <t>KANDREHO</t>
  </si>
  <si>
    <t>TSARATANANA</t>
  </si>
  <si>
    <t>TOTAL HAUTE MATSIATRA</t>
  </si>
  <si>
    <t>HAUTE MATSIATRA</t>
  </si>
  <si>
    <t>AMBALAVAO</t>
  </si>
  <si>
    <t>2 524</t>
  </si>
  <si>
    <t>AMBOHIMAHASOA</t>
  </si>
  <si>
    <t>2 738</t>
  </si>
  <si>
    <t>FIANARANTSOA</t>
  </si>
  <si>
    <t>IKALAMAVONY</t>
  </si>
  <si>
    <t>1 202</t>
  </si>
  <si>
    <t>ISANDRA</t>
  </si>
  <si>
    <t>2 270</t>
  </si>
  <si>
    <t>LALANGINA</t>
  </si>
  <si>
    <t>1 840</t>
  </si>
  <si>
    <t>VOHIBATO</t>
  </si>
  <si>
    <t>2 191</t>
  </si>
  <si>
    <t>TOTAL VAKINAKARATRA</t>
  </si>
  <si>
    <t>VAKINAKARATRA</t>
  </si>
  <si>
    <t>AMBATOLAMPY</t>
  </si>
  <si>
    <t>ANTANIFOTSY</t>
  </si>
  <si>
    <t>ANTSIRABE I</t>
  </si>
  <si>
    <t>ANTSIRABE II</t>
  </si>
  <si>
    <t>BETAFO</t>
  </si>
  <si>
    <t>FARATSIHO</t>
  </si>
  <si>
    <t>MANDOTO</t>
  </si>
  <si>
    <t>TOTAL ANALAMANGA</t>
  </si>
  <si>
    <t>ANALAMANGA</t>
  </si>
  <si>
    <t>AMBOHIDRATRIMO</t>
  </si>
  <si>
    <t>23 585</t>
  </si>
  <si>
    <t>ATSIMONDRANO</t>
  </si>
  <si>
    <t>28 433</t>
  </si>
  <si>
    <t>RENIVOHITRA</t>
  </si>
  <si>
    <t>36 629</t>
  </si>
  <si>
    <t>ANDRAMASINA</t>
  </si>
  <si>
    <t>14 406</t>
  </si>
  <si>
    <t>ANKAZOBE</t>
  </si>
  <si>
    <t>21 699</t>
  </si>
  <si>
    <t>AVARADRANO</t>
  </si>
  <si>
    <t>21 184</t>
  </si>
  <si>
    <t>ANJOZOROBE</t>
  </si>
  <si>
    <t>22 531</t>
  </si>
  <si>
    <t>MANJAKANDRIANA</t>
  </si>
  <si>
    <t>19 484</t>
  </si>
  <si>
    <t>TOTAL IHOROMBE</t>
  </si>
  <si>
    <t>IHOROMBE</t>
  </si>
  <si>
    <t>IHOSY</t>
  </si>
  <si>
    <t>23 789</t>
  </si>
  <si>
    <t>IAKORA</t>
  </si>
  <si>
    <t>6 428</t>
  </si>
  <si>
    <t>IVOHIBE</t>
  </si>
  <si>
    <t>6 341</t>
  </si>
  <si>
    <t>TOTAL ITASY</t>
  </si>
  <si>
    <t>ITASY</t>
  </si>
  <si>
    <t>ARIVONIMAMO</t>
  </si>
  <si>
    <t>30 852</t>
  </si>
  <si>
    <t>MIARINARIVO</t>
  </si>
  <si>
    <t>22 285</t>
  </si>
  <si>
    <t>SOAVINANDRIANA</t>
  </si>
  <si>
    <t>26 016</t>
  </si>
  <si>
    <t>TOTAL MELAKY</t>
  </si>
  <si>
    <t>MELAKY</t>
  </si>
  <si>
    <t>MAINTIRANO</t>
  </si>
  <si>
    <t>9 284</t>
  </si>
  <si>
    <t>BESALAMPY</t>
  </si>
  <si>
    <t>6 104</t>
  </si>
  <si>
    <t>MORAFENOBE</t>
  </si>
  <si>
    <t>3 137</t>
  </si>
  <si>
    <t>AMBATOMAINTY</t>
  </si>
  <si>
    <t>4 523</t>
  </si>
  <si>
    <t>ANTSALOVA</t>
  </si>
  <si>
    <t>7 707</t>
  </si>
  <si>
    <t>TOTAL BONGOLAVA</t>
  </si>
  <si>
    <t>BONGOLAVA</t>
  </si>
  <si>
    <t>TSIROANOMANDIDY</t>
  </si>
  <si>
    <t>45 700</t>
  </si>
  <si>
    <t>FENOARIVOBE</t>
  </si>
  <si>
    <t>19 674</t>
  </si>
  <si>
    <t>RECAPITULATION TEST FINAL LECTURE 2021-2022</t>
  </si>
  <si>
    <t>33 783</t>
  </si>
  <si>
    <t>28 063</t>
  </si>
  <si>
    <t>11 932</t>
  </si>
  <si>
    <t>10 967</t>
  </si>
  <si>
    <t>16 225</t>
  </si>
  <si>
    <t>20 179</t>
  </si>
  <si>
    <t>24 414</t>
  </si>
  <si>
    <t>24 297</t>
  </si>
  <si>
    <t>28 851</t>
  </si>
  <si>
    <t>37 356</t>
  </si>
  <si>
    <t>14 487</t>
  </si>
  <si>
    <t>21 876</t>
  </si>
  <si>
    <t>20 511</t>
  </si>
  <si>
    <t>22 536</t>
  </si>
  <si>
    <t>19 993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</si>
</sst>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mm\ yyyy"/>
    <numFmt numFmtId="166" formatCode="mmmm\-d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</font>
    <font>
      <b/>
      <u/>
      <sz val="18"/>
      <color theme="1"/>
      <name val="Book Antiqua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  <family val="2"/>
    </font>
    <font>
      <b/>
      <sz val="11"/>
      <color rgb="FFFF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&quot;Book Antiqua&quot;"/>
    </font>
  </fonts>
  <fills count="14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CC66FF"/>
        <bgColor rgb="FFCC66FF"/>
      </patternFill>
    </fill>
    <fill>
      <patternFill patternType="solid">
        <fgColor rgb="FFFAACF3"/>
        <bgColor rgb="FFFAACF3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1" fontId="4" fillId="2" borderId="3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8" fillId="2" borderId="8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9" fontId="4" fillId="9" borderId="7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/>
    </xf>
    <xf numFmtId="0" fontId="6" fillId="10" borderId="7" xfId="0" applyFont="1" applyFill="1" applyBorder="1" applyAlignment="1">
      <alignment vertical="center"/>
    </xf>
    <xf numFmtId="3" fontId="6" fillId="10" borderId="12" xfId="0" applyNumberFormat="1" applyFont="1" applyFill="1" applyBorder="1" applyAlignment="1">
      <alignment horizontal="center" vertical="center"/>
    </xf>
    <xf numFmtId="9" fontId="6" fillId="10" borderId="5" xfId="0" applyNumberFormat="1" applyFont="1" applyFill="1" applyBorder="1" applyAlignment="1">
      <alignment horizontal="center" vertical="center"/>
    </xf>
    <xf numFmtId="3" fontId="8" fillId="10" borderId="13" xfId="0" applyNumberFormat="1" applyFont="1" applyFill="1" applyBorder="1" applyAlignment="1">
      <alignment horizontal="center" vertical="center"/>
    </xf>
    <xf numFmtId="3" fontId="6" fillId="10" borderId="9" xfId="0" applyNumberFormat="1" applyFont="1" applyFill="1" applyBorder="1" applyAlignment="1">
      <alignment horizontal="center" vertical="center"/>
    </xf>
    <xf numFmtId="3" fontId="8" fillId="10" borderId="11" xfId="0" applyNumberFormat="1" applyFont="1" applyFill="1" applyBorder="1" applyAlignment="1">
      <alignment horizontal="center" vertical="center"/>
    </xf>
    <xf numFmtId="3" fontId="6" fillId="10" borderId="10" xfId="0" applyNumberFormat="1" applyFont="1" applyFill="1" applyBorder="1" applyAlignment="1">
      <alignment horizontal="center" vertical="center"/>
    </xf>
    <xf numFmtId="3" fontId="4" fillId="10" borderId="10" xfId="0" applyNumberFormat="1" applyFont="1" applyFill="1" applyBorder="1" applyAlignment="1">
      <alignment horizontal="center" vertical="center"/>
    </xf>
    <xf numFmtId="164" fontId="6" fillId="10" borderId="10" xfId="0" applyNumberFormat="1" applyFont="1" applyFill="1" applyBorder="1" applyAlignment="1">
      <alignment horizontal="center" vertical="center"/>
    </xf>
    <xf numFmtId="3" fontId="7" fillId="10" borderId="10" xfId="0" applyNumberFormat="1" applyFont="1" applyFill="1" applyBorder="1" applyAlignment="1">
      <alignment horizontal="center" vertical="center"/>
    </xf>
    <xf numFmtId="164" fontId="7" fillId="10" borderId="10" xfId="0" applyNumberFormat="1" applyFont="1" applyFill="1" applyBorder="1" applyAlignment="1">
      <alignment horizontal="center" vertical="center"/>
    </xf>
    <xf numFmtId="164" fontId="4" fillId="10" borderId="10" xfId="0" applyNumberFormat="1" applyFont="1" applyFill="1" applyBorder="1" applyAlignment="1">
      <alignment horizontal="center" vertical="center"/>
    </xf>
    <xf numFmtId="164" fontId="4" fillId="10" borderId="14" xfId="0" applyNumberFormat="1" applyFont="1" applyFill="1" applyBorder="1" applyAlignment="1">
      <alignment horizontal="center" vertical="center" wrapText="1"/>
    </xf>
    <xf numFmtId="9" fontId="4" fillId="10" borderId="7" xfId="0" applyNumberFormat="1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vertical="center"/>
    </xf>
    <xf numFmtId="3" fontId="6" fillId="11" borderId="12" xfId="0" applyNumberFormat="1" applyFont="1" applyFill="1" applyBorder="1" applyAlignment="1">
      <alignment horizontal="center" vertical="center"/>
    </xf>
    <xf numFmtId="3" fontId="6" fillId="11" borderId="4" xfId="0" applyNumberFormat="1" applyFont="1" applyFill="1" applyBorder="1" applyAlignment="1">
      <alignment horizontal="center" vertical="center"/>
    </xf>
    <xf numFmtId="9" fontId="6" fillId="11" borderId="5" xfId="0" applyNumberFormat="1" applyFont="1" applyFill="1" applyBorder="1" applyAlignment="1">
      <alignment horizontal="center" vertical="center"/>
    </xf>
    <xf numFmtId="3" fontId="8" fillId="11" borderId="13" xfId="0" applyNumberFormat="1" applyFont="1" applyFill="1" applyBorder="1" applyAlignment="1">
      <alignment horizontal="center" vertical="center"/>
    </xf>
    <xf numFmtId="3" fontId="6" fillId="11" borderId="9" xfId="0" applyNumberFormat="1" applyFont="1" applyFill="1" applyBorder="1" applyAlignment="1">
      <alignment horizontal="center" vertical="center"/>
    </xf>
    <xf numFmtId="3" fontId="8" fillId="11" borderId="11" xfId="0" applyNumberFormat="1" applyFont="1" applyFill="1" applyBorder="1" applyAlignment="1">
      <alignment horizontal="center" vertical="center"/>
    </xf>
    <xf numFmtId="3" fontId="6" fillId="11" borderId="10" xfId="0" applyNumberFormat="1" applyFont="1" applyFill="1" applyBorder="1" applyAlignment="1">
      <alignment horizontal="center" vertical="center"/>
    </xf>
    <xf numFmtId="3" fontId="4" fillId="11" borderId="10" xfId="0" applyNumberFormat="1" applyFont="1" applyFill="1" applyBorder="1" applyAlignment="1">
      <alignment horizontal="center" vertical="center"/>
    </xf>
    <xf numFmtId="164" fontId="6" fillId="11" borderId="10" xfId="0" applyNumberFormat="1" applyFont="1" applyFill="1" applyBorder="1" applyAlignment="1">
      <alignment horizontal="center" vertical="center"/>
    </xf>
    <xf numFmtId="3" fontId="7" fillId="11" borderId="10" xfId="0" applyNumberFormat="1" applyFont="1" applyFill="1" applyBorder="1" applyAlignment="1">
      <alignment horizontal="center" vertical="center"/>
    </xf>
    <xf numFmtId="164" fontId="7" fillId="11" borderId="10" xfId="0" applyNumberFormat="1" applyFont="1" applyFill="1" applyBorder="1" applyAlignment="1">
      <alignment horizontal="center" vertical="center"/>
    </xf>
    <xf numFmtId="164" fontId="4" fillId="11" borderId="10" xfId="0" applyNumberFormat="1" applyFont="1" applyFill="1" applyBorder="1" applyAlignment="1">
      <alignment horizontal="center" vertical="center"/>
    </xf>
    <xf numFmtId="164" fontId="4" fillId="11" borderId="14" xfId="0" applyNumberFormat="1" applyFont="1" applyFill="1" applyBorder="1" applyAlignment="1">
      <alignment horizontal="center" vertical="center" wrapText="1"/>
    </xf>
    <xf numFmtId="9" fontId="4" fillId="11" borderId="7" xfId="0" applyNumberFormat="1" applyFont="1" applyFill="1" applyBorder="1" applyAlignment="1">
      <alignment horizontal="center" vertical="center"/>
    </xf>
    <xf numFmtId="9" fontId="6" fillId="12" borderId="5" xfId="0" applyNumberFormat="1" applyFont="1" applyFill="1" applyBorder="1" applyAlignment="1">
      <alignment horizontal="center" vertical="center"/>
    </xf>
    <xf numFmtId="0" fontId="6" fillId="10" borderId="10" xfId="0" applyNumberFormat="1" applyFont="1" applyFill="1" applyBorder="1" applyAlignment="1">
      <alignment horizontal="center" vertical="center"/>
    </xf>
    <xf numFmtId="0" fontId="4" fillId="10" borderId="10" xfId="0" applyNumberFormat="1" applyFont="1" applyFill="1" applyBorder="1" applyAlignment="1">
      <alignment horizontal="center" vertical="center"/>
    </xf>
    <xf numFmtId="0" fontId="6" fillId="11" borderId="12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3" fontId="9" fillId="13" borderId="12" xfId="0" applyNumberFormat="1" applyFont="1" applyFill="1" applyBorder="1" applyAlignment="1">
      <alignment horizontal="center" vertical="center"/>
    </xf>
    <xf numFmtId="3" fontId="9" fillId="13" borderId="9" xfId="0" applyNumberFormat="1" applyFont="1" applyFill="1" applyBorder="1" applyAlignment="1">
      <alignment horizontal="center" vertical="center"/>
    </xf>
    <xf numFmtId="0" fontId="9" fillId="13" borderId="10" xfId="0" applyFont="1" applyFill="1" applyBorder="1" applyAlignment="1">
      <alignment horizontal="center" vertical="center"/>
    </xf>
    <xf numFmtId="0" fontId="9" fillId="13" borderId="9" xfId="0" applyNumberFormat="1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10" fillId="13" borderId="10" xfId="0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3" fontId="11" fillId="0" borderId="7" xfId="0" applyNumberFormat="1" applyFont="1" applyBorder="1" applyAlignment="1">
      <alignment horizontal="center" vertical="center"/>
    </xf>
    <xf numFmtId="165" fontId="6" fillId="11" borderId="12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7" fillId="4" borderId="10" xfId="0" applyFont="1" applyFill="1" applyBorder="1" applyAlignment="1">
      <alignment horizontal="center" vertical="center" wrapText="1"/>
    </xf>
    <xf numFmtId="166" fontId="6" fillId="11" borderId="12" xfId="0" applyNumberFormat="1" applyFont="1" applyFill="1" applyBorder="1" applyAlignment="1">
      <alignment horizontal="center" vertical="center"/>
    </xf>
    <xf numFmtId="3" fontId="6" fillId="10" borderId="15" xfId="0" applyNumberFormat="1" applyFont="1" applyFill="1" applyBorder="1" applyAlignment="1">
      <alignment horizontal="center" vertical="center"/>
    </xf>
    <xf numFmtId="3" fontId="6" fillId="10" borderId="16" xfId="0" applyNumberFormat="1" applyFont="1" applyFill="1" applyBorder="1" applyAlignment="1">
      <alignment horizontal="center" vertical="center"/>
    </xf>
    <xf numFmtId="3" fontId="6" fillId="11" borderId="17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3" fontId="7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02BB-DDF1-41AF-A0AE-2F9DCFE5D610}">
  <dimension ref="A1:AR56"/>
  <sheetViews>
    <sheetView tabSelected="1" topLeftCell="AB1" workbookViewId="0">
      <selection activeCell="A57" sqref="A57:XFD66"/>
    </sheetView>
  </sheetViews>
  <sheetFormatPr baseColWidth="10" defaultRowHeight="14.4"/>
  <sheetData>
    <row r="1" spans="1:44" ht="23.4">
      <c r="A1" s="1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4"/>
      <c r="K1" s="4"/>
      <c r="L1" s="5"/>
      <c r="M1" s="6"/>
      <c r="N1" s="6"/>
      <c r="O1" s="6"/>
      <c r="P1" s="6"/>
      <c r="Q1" s="6"/>
      <c r="R1" s="7"/>
      <c r="S1" s="7"/>
      <c r="T1" s="7"/>
      <c r="U1" s="7"/>
      <c r="V1" s="7"/>
      <c r="W1" s="7"/>
      <c r="X1" s="8"/>
      <c r="Y1" s="8"/>
      <c r="Z1" s="7"/>
      <c r="AA1" s="7"/>
      <c r="AB1" s="7"/>
      <c r="AC1" s="7"/>
      <c r="AD1" s="8"/>
      <c r="AE1" s="8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9"/>
      <c r="AR1" s="9"/>
    </row>
    <row r="2" spans="1:44" ht="57.6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1" t="s">
        <v>8</v>
      </c>
      <c r="H2" s="12" t="s">
        <v>9</v>
      </c>
      <c r="I2" s="13" t="s">
        <v>10</v>
      </c>
      <c r="J2" s="14" t="s">
        <v>11</v>
      </c>
      <c r="K2" s="14" t="s">
        <v>12</v>
      </c>
      <c r="L2" s="14" t="s">
        <v>13</v>
      </c>
      <c r="M2" s="15" t="s">
        <v>14</v>
      </c>
      <c r="N2" s="16" t="s">
        <v>10</v>
      </c>
      <c r="O2" s="17" t="s">
        <v>11</v>
      </c>
      <c r="P2" s="17" t="s">
        <v>12</v>
      </c>
      <c r="Q2" s="17" t="s">
        <v>13</v>
      </c>
      <c r="R2" s="18" t="s">
        <v>15</v>
      </c>
      <c r="S2" s="19" t="s">
        <v>16</v>
      </c>
      <c r="T2" s="20" t="s">
        <v>10</v>
      </c>
      <c r="U2" s="20" t="s">
        <v>11</v>
      </c>
      <c r="V2" s="20" t="s">
        <v>12</v>
      </c>
      <c r="W2" s="20" t="s">
        <v>13</v>
      </c>
      <c r="X2" s="21" t="s">
        <v>17</v>
      </c>
      <c r="Y2" s="21" t="s">
        <v>18</v>
      </c>
      <c r="Z2" s="22" t="s">
        <v>10</v>
      </c>
      <c r="AA2" s="22" t="s">
        <v>11</v>
      </c>
      <c r="AB2" s="22" t="s">
        <v>12</v>
      </c>
      <c r="AC2" s="22" t="s">
        <v>13</v>
      </c>
      <c r="AD2" s="23" t="s">
        <v>19</v>
      </c>
      <c r="AE2" s="23" t="s">
        <v>20</v>
      </c>
      <c r="AF2" s="24" t="s">
        <v>10</v>
      </c>
      <c r="AG2" s="24" t="s">
        <v>11</v>
      </c>
      <c r="AH2" s="24" t="s">
        <v>12</v>
      </c>
      <c r="AI2" s="24" t="s">
        <v>13</v>
      </c>
      <c r="AJ2" s="24" t="s">
        <v>21</v>
      </c>
      <c r="AK2" s="24" t="s">
        <v>22</v>
      </c>
      <c r="AL2" s="25" t="s">
        <v>10</v>
      </c>
      <c r="AM2" s="25" t="s">
        <v>11</v>
      </c>
      <c r="AN2" s="25" t="s">
        <v>12</v>
      </c>
      <c r="AO2" s="25" t="s">
        <v>13</v>
      </c>
      <c r="AP2" s="25" t="s">
        <v>23</v>
      </c>
      <c r="AQ2" s="26" t="s">
        <v>24</v>
      </c>
      <c r="AR2" s="27" t="s">
        <v>25</v>
      </c>
    </row>
    <row r="3" spans="1:44">
      <c r="A3" s="28" t="s">
        <v>26</v>
      </c>
      <c r="B3" s="5"/>
      <c r="C3" s="29"/>
      <c r="D3" s="30"/>
      <c r="E3" s="30">
        <f t="shared" ref="E3:F3" si="0">E4+E5+E6+E7+E8+E9+E10</f>
        <v>1786</v>
      </c>
      <c r="F3" s="30">
        <f t="shared" si="0"/>
        <v>1773</v>
      </c>
      <c r="G3" s="59">
        <f>+IFERROR(F3/E3,"")</f>
        <v>0.99272116461366178</v>
      </c>
      <c r="H3" s="32">
        <f>+SUM(H5:H10)</f>
        <v>157056</v>
      </c>
      <c r="I3" s="33">
        <f t="shared" ref="I3:L5" si="1">N3+T3+Z3+AF3+AL3</f>
        <v>55185</v>
      </c>
      <c r="J3" s="33">
        <f t="shared" si="1"/>
        <v>42057</v>
      </c>
      <c r="K3" s="33">
        <f t="shared" si="1"/>
        <v>27623</v>
      </c>
      <c r="L3" s="33">
        <f t="shared" si="1"/>
        <v>25071</v>
      </c>
      <c r="M3" s="34">
        <f t="shared" ref="M3:M15" si="2">SUM(I3:L3)</f>
        <v>149936</v>
      </c>
      <c r="N3" s="33">
        <f>+SUM(N4:N10)</f>
        <v>19724</v>
      </c>
      <c r="O3" s="33">
        <f t="shared" ref="O3:Q3" si="3">+SUM(O4:O10)</f>
        <v>5907</v>
      </c>
      <c r="P3" s="33">
        <f t="shared" si="3"/>
        <v>1526</v>
      </c>
      <c r="Q3" s="33">
        <f t="shared" si="3"/>
        <v>548</v>
      </c>
      <c r="R3" s="36">
        <f t="shared" ref="R3:R56" si="4">SUM(N3:Q3)</f>
        <v>27705</v>
      </c>
      <c r="S3" s="37">
        <f t="shared" ref="S3:S15" si="5">+IFERROR(R3/$M3,"")</f>
        <v>0.18477883897129441</v>
      </c>
      <c r="T3" s="60">
        <f>+SUM(T4:T10)</f>
        <v>17889</v>
      </c>
      <c r="U3" s="60">
        <f t="shared" ref="U3:W3" si="6">+SUM(U4:U10)</f>
        <v>9426</v>
      </c>
      <c r="V3" s="60">
        <f t="shared" si="6"/>
        <v>2864</v>
      </c>
      <c r="W3" s="60">
        <f t="shared" si="6"/>
        <v>1276</v>
      </c>
      <c r="X3" s="38">
        <f t="shared" ref="X3:X56" si="7">SUM(T3:W3)</f>
        <v>31455</v>
      </c>
      <c r="Y3" s="39">
        <f t="shared" ref="Y3:Y15" si="8">+IFERROR(X3/$M3,"")</f>
        <v>0.20978951019101483</v>
      </c>
      <c r="Z3" s="60">
        <f>+SUM(Z4:Z10)</f>
        <v>11760</v>
      </c>
      <c r="AA3" s="60">
        <f t="shared" ref="AA3:AC3" si="9">+SUM(AA4:AA10)</f>
        <v>11838</v>
      </c>
      <c r="AB3" s="60">
        <f t="shared" si="9"/>
        <v>6668</v>
      </c>
      <c r="AC3" s="60">
        <f t="shared" si="9"/>
        <v>3929</v>
      </c>
      <c r="AD3" s="38">
        <f t="shared" ref="AD3:AD56" si="10">SUM(Z3:AC3)</f>
        <v>34195</v>
      </c>
      <c r="AE3" s="39">
        <f t="shared" ref="AE3:AE15" si="11">+IFERROR(AD3/$M3,"")</f>
        <v>0.22806397396222389</v>
      </c>
      <c r="AF3" s="60">
        <f>+SUM(AF4:AF10)</f>
        <v>4293</v>
      </c>
      <c r="AG3" s="60">
        <f t="shared" ref="AG3:AI3" si="12">+SUM(AG4:AG10)</f>
        <v>9482</v>
      </c>
      <c r="AH3" s="60">
        <f t="shared" si="12"/>
        <v>9228</v>
      </c>
      <c r="AI3" s="60">
        <f t="shared" si="12"/>
        <v>8785</v>
      </c>
      <c r="AJ3" s="36">
        <f t="shared" ref="AJ3:AJ56" si="13">SUM(AF3:AI3)</f>
        <v>31788</v>
      </c>
      <c r="AK3" s="40">
        <f t="shared" ref="AK3:AK15" si="14">+IFERROR(AJ3/$M3,"")</f>
        <v>0.21201045779532601</v>
      </c>
      <c r="AL3" s="61">
        <f>+SUM(AL4:AL10)</f>
        <v>1519</v>
      </c>
      <c r="AM3" s="61">
        <f t="shared" ref="AM3:AO3" si="15">+SUM(AM4:AM10)</f>
        <v>5404</v>
      </c>
      <c r="AN3" s="61">
        <f t="shared" si="15"/>
        <v>7337</v>
      </c>
      <c r="AO3" s="61">
        <f t="shared" si="15"/>
        <v>10533</v>
      </c>
      <c r="AP3" s="36">
        <f t="shared" ref="AP3:AP56" si="16">SUM(AL3:AO3)</f>
        <v>24793</v>
      </c>
      <c r="AQ3" s="41">
        <f t="shared" ref="AQ3:AQ15" si="17">+IFERROR(AP3/$M3,"")</f>
        <v>0.16535721908014087</v>
      </c>
      <c r="AR3" s="42">
        <f t="shared" ref="AR3:AR56" si="18">IFERROR(+AK3+AQ3,"")</f>
        <v>0.37736767687546691</v>
      </c>
    </row>
    <row r="4" spans="1:44">
      <c r="A4" s="43">
        <v>6</v>
      </c>
      <c r="B4" s="44" t="s">
        <v>27</v>
      </c>
      <c r="C4" s="44" t="s">
        <v>28</v>
      </c>
      <c r="D4" s="62" t="s">
        <v>29</v>
      </c>
      <c r="E4" s="45">
        <v>107</v>
      </c>
      <c r="F4" s="46">
        <v>107</v>
      </c>
      <c r="G4" s="47">
        <f t="shared" ref="G4:G56" si="19">+IFERROR(F4/E4,"")</f>
        <v>1</v>
      </c>
      <c r="H4" s="48">
        <v>10320</v>
      </c>
      <c r="I4" s="49">
        <f t="shared" si="1"/>
        <v>3529</v>
      </c>
      <c r="J4" s="49">
        <f t="shared" si="1"/>
        <v>2789</v>
      </c>
      <c r="K4" s="49">
        <f t="shared" si="1"/>
        <v>1856</v>
      </c>
      <c r="L4" s="49">
        <f t="shared" si="1"/>
        <v>1903</v>
      </c>
      <c r="M4" s="50">
        <f>SUM(I4:L4)</f>
        <v>10077</v>
      </c>
      <c r="N4" s="49">
        <v>1292</v>
      </c>
      <c r="O4" s="51">
        <v>507</v>
      </c>
      <c r="P4" s="51">
        <v>67</v>
      </c>
      <c r="Q4" s="51">
        <v>20</v>
      </c>
      <c r="R4" s="52">
        <f t="shared" si="4"/>
        <v>1886</v>
      </c>
      <c r="S4" s="53">
        <f t="shared" si="5"/>
        <v>0.18715887664979658</v>
      </c>
      <c r="T4" s="51">
        <v>1002</v>
      </c>
      <c r="U4" s="63">
        <v>773</v>
      </c>
      <c r="V4" s="63">
        <v>189</v>
      </c>
      <c r="W4" s="63">
        <v>61</v>
      </c>
      <c r="X4" s="54">
        <f t="shared" si="7"/>
        <v>2025</v>
      </c>
      <c r="Y4" s="55">
        <f t="shared" si="8"/>
        <v>0.20095266448347723</v>
      </c>
      <c r="Z4" s="63">
        <v>789</v>
      </c>
      <c r="AA4" s="63">
        <v>798</v>
      </c>
      <c r="AB4" s="63">
        <v>579</v>
      </c>
      <c r="AC4" s="63">
        <v>405</v>
      </c>
      <c r="AD4" s="54">
        <f t="shared" si="10"/>
        <v>2571</v>
      </c>
      <c r="AE4" s="55">
        <f t="shared" si="11"/>
        <v>0.2551354569812444</v>
      </c>
      <c r="AF4" s="63">
        <v>342</v>
      </c>
      <c r="AG4" s="63">
        <v>481</v>
      </c>
      <c r="AH4" s="63">
        <v>668</v>
      </c>
      <c r="AI4" s="63">
        <v>824</v>
      </c>
      <c r="AJ4" s="52">
        <f t="shared" si="13"/>
        <v>2315</v>
      </c>
      <c r="AK4" s="56">
        <f t="shared" si="14"/>
        <v>0.22973107075518506</v>
      </c>
      <c r="AL4" s="64">
        <v>104</v>
      </c>
      <c r="AM4" s="64">
        <v>230</v>
      </c>
      <c r="AN4" s="64">
        <v>353</v>
      </c>
      <c r="AO4" s="64">
        <v>593</v>
      </c>
      <c r="AP4" s="52">
        <f t="shared" si="16"/>
        <v>1280</v>
      </c>
      <c r="AQ4" s="57">
        <f t="shared" si="17"/>
        <v>0.12702193113029672</v>
      </c>
      <c r="AR4" s="58">
        <f t="shared" si="18"/>
        <v>0.35675300188548176</v>
      </c>
    </row>
    <row r="5" spans="1:44">
      <c r="A5" s="43">
        <v>7</v>
      </c>
      <c r="B5" s="44" t="s">
        <v>27</v>
      </c>
      <c r="C5" s="44" t="s">
        <v>30</v>
      </c>
      <c r="D5" s="62" t="s">
        <v>29</v>
      </c>
      <c r="E5" s="45">
        <v>388</v>
      </c>
      <c r="F5" s="46">
        <v>384</v>
      </c>
      <c r="G5" s="47">
        <f t="shared" si="19"/>
        <v>0.98969072164948457</v>
      </c>
      <c r="H5" s="48">
        <v>25786</v>
      </c>
      <c r="I5" s="49">
        <f>N5+T5+Z5+AF5+AL5</f>
        <v>8527</v>
      </c>
      <c r="J5" s="49">
        <f t="shared" si="1"/>
        <v>6373</v>
      </c>
      <c r="K5" s="49">
        <f t="shared" si="1"/>
        <v>4463</v>
      </c>
      <c r="L5" s="49">
        <f t="shared" si="1"/>
        <v>3728</v>
      </c>
      <c r="M5" s="50">
        <f t="shared" si="2"/>
        <v>23091</v>
      </c>
      <c r="N5" s="49">
        <v>2810</v>
      </c>
      <c r="O5" s="51">
        <v>991</v>
      </c>
      <c r="P5" s="51">
        <v>236</v>
      </c>
      <c r="Q5" s="51">
        <v>70</v>
      </c>
      <c r="R5" s="52">
        <f t="shared" si="4"/>
        <v>4107</v>
      </c>
      <c r="S5" s="53">
        <f t="shared" si="5"/>
        <v>0.17786150448226581</v>
      </c>
      <c r="T5" s="51">
        <v>2837</v>
      </c>
      <c r="U5" s="51">
        <v>1497</v>
      </c>
      <c r="V5" s="63">
        <v>576</v>
      </c>
      <c r="W5" s="63">
        <v>225</v>
      </c>
      <c r="X5" s="54">
        <f t="shared" si="7"/>
        <v>5135</v>
      </c>
      <c r="Y5" s="55">
        <f t="shared" si="8"/>
        <v>0.22238101424797541</v>
      </c>
      <c r="Z5" s="51">
        <v>1956</v>
      </c>
      <c r="AA5" s="51">
        <v>1920</v>
      </c>
      <c r="AB5" s="51">
        <v>1252</v>
      </c>
      <c r="AC5" s="63">
        <v>670</v>
      </c>
      <c r="AD5" s="54">
        <f t="shared" si="10"/>
        <v>5798</v>
      </c>
      <c r="AE5" s="55">
        <f t="shared" si="11"/>
        <v>0.2510934996318912</v>
      </c>
      <c r="AF5" s="63">
        <v>739</v>
      </c>
      <c r="AG5" s="51">
        <v>1383</v>
      </c>
      <c r="AH5" s="51">
        <v>1445</v>
      </c>
      <c r="AI5" s="51">
        <v>1541</v>
      </c>
      <c r="AJ5" s="52">
        <f t="shared" si="13"/>
        <v>5108</v>
      </c>
      <c r="AK5" s="56">
        <f t="shared" si="14"/>
        <v>0.22121172751288382</v>
      </c>
      <c r="AL5" s="64">
        <v>185</v>
      </c>
      <c r="AM5" s="64">
        <v>582</v>
      </c>
      <c r="AN5" s="64">
        <v>954</v>
      </c>
      <c r="AO5" s="52">
        <v>1222</v>
      </c>
      <c r="AP5" s="52">
        <f t="shared" si="16"/>
        <v>2943</v>
      </c>
      <c r="AQ5" s="57">
        <f t="shared" si="17"/>
        <v>0.12745225412498376</v>
      </c>
      <c r="AR5" s="58">
        <f t="shared" si="18"/>
        <v>0.3486639816378676</v>
      </c>
    </row>
    <row r="6" spans="1:44">
      <c r="A6" s="43">
        <v>8</v>
      </c>
      <c r="B6" s="44" t="s">
        <v>27</v>
      </c>
      <c r="C6" s="44" t="s">
        <v>31</v>
      </c>
      <c r="D6" s="62" t="s">
        <v>29</v>
      </c>
      <c r="E6" s="45">
        <v>431</v>
      </c>
      <c r="F6" s="46">
        <v>431</v>
      </c>
      <c r="G6" s="47">
        <f t="shared" si="19"/>
        <v>1</v>
      </c>
      <c r="H6" s="48">
        <v>45291</v>
      </c>
      <c r="I6" s="49">
        <f t="shared" ref="I6:L10" si="20">N6+T6+Z6+AF6+AL6</f>
        <v>14825</v>
      </c>
      <c r="J6" s="49">
        <f t="shared" si="20"/>
        <v>10962</v>
      </c>
      <c r="K6" s="49">
        <f t="shared" si="20"/>
        <v>6162</v>
      </c>
      <c r="L6" s="49">
        <f t="shared" si="20"/>
        <v>5871</v>
      </c>
      <c r="M6" s="50">
        <f t="shared" si="2"/>
        <v>37820</v>
      </c>
      <c r="N6" s="49">
        <v>5304</v>
      </c>
      <c r="O6" s="51">
        <v>1357</v>
      </c>
      <c r="P6" s="51">
        <v>90</v>
      </c>
      <c r="Q6" s="51">
        <v>15</v>
      </c>
      <c r="R6" s="52">
        <f t="shared" si="4"/>
        <v>6766</v>
      </c>
      <c r="S6" s="53">
        <f t="shared" si="5"/>
        <v>0.17890005288207297</v>
      </c>
      <c r="T6" s="51">
        <v>4797</v>
      </c>
      <c r="U6" s="51">
        <v>2151</v>
      </c>
      <c r="V6" s="63">
        <v>441</v>
      </c>
      <c r="W6" s="63">
        <v>229</v>
      </c>
      <c r="X6" s="54">
        <f t="shared" si="7"/>
        <v>7618</v>
      </c>
      <c r="Y6" s="55">
        <f t="shared" si="8"/>
        <v>0.20142781597038603</v>
      </c>
      <c r="Z6" s="51">
        <v>3098</v>
      </c>
      <c r="AA6" s="51">
        <v>3117</v>
      </c>
      <c r="AB6" s="51">
        <v>1281</v>
      </c>
      <c r="AC6" s="63">
        <v>765</v>
      </c>
      <c r="AD6" s="54">
        <f t="shared" si="10"/>
        <v>8261</v>
      </c>
      <c r="AE6" s="55">
        <f t="shared" si="11"/>
        <v>0.21842940243257536</v>
      </c>
      <c r="AF6" s="51">
        <v>1122</v>
      </c>
      <c r="AG6" s="51">
        <v>2782</v>
      </c>
      <c r="AH6" s="51">
        <v>2354</v>
      </c>
      <c r="AI6" s="51">
        <v>2001</v>
      </c>
      <c r="AJ6" s="52">
        <f t="shared" si="13"/>
        <v>8259</v>
      </c>
      <c r="AK6" s="56">
        <f t="shared" si="14"/>
        <v>0.21837652035959809</v>
      </c>
      <c r="AL6" s="64">
        <v>504</v>
      </c>
      <c r="AM6" s="52">
        <v>1555</v>
      </c>
      <c r="AN6" s="52">
        <v>1996</v>
      </c>
      <c r="AO6" s="52">
        <v>2861</v>
      </c>
      <c r="AP6" s="52">
        <f t="shared" si="16"/>
        <v>6916</v>
      </c>
      <c r="AQ6" s="57">
        <f t="shared" si="17"/>
        <v>0.18286620835536754</v>
      </c>
      <c r="AR6" s="58">
        <f t="shared" si="18"/>
        <v>0.40124272871496564</v>
      </c>
    </row>
    <row r="7" spans="1:44">
      <c r="A7" s="43">
        <v>9</v>
      </c>
      <c r="B7" s="44" t="s">
        <v>27</v>
      </c>
      <c r="C7" s="44" t="s">
        <v>32</v>
      </c>
      <c r="D7" s="62" t="s">
        <v>29</v>
      </c>
      <c r="E7" s="45">
        <v>279</v>
      </c>
      <c r="F7" s="46">
        <v>277</v>
      </c>
      <c r="G7" s="47">
        <f t="shared" si="19"/>
        <v>0.99283154121863804</v>
      </c>
      <c r="H7" s="48">
        <v>24234</v>
      </c>
      <c r="I7" s="49">
        <f t="shared" si="20"/>
        <v>8220</v>
      </c>
      <c r="J7" s="49">
        <f t="shared" si="20"/>
        <v>6042</v>
      </c>
      <c r="K7" s="49">
        <f t="shared" si="20"/>
        <v>3729</v>
      </c>
      <c r="L7" s="49">
        <f t="shared" si="20"/>
        <v>3403</v>
      </c>
      <c r="M7" s="50">
        <f t="shared" si="2"/>
        <v>21394</v>
      </c>
      <c r="N7" s="49">
        <v>3095</v>
      </c>
      <c r="O7" s="51">
        <v>776</v>
      </c>
      <c r="P7" s="51">
        <v>162</v>
      </c>
      <c r="Q7" s="51">
        <v>104</v>
      </c>
      <c r="R7" s="52">
        <f t="shared" si="4"/>
        <v>4137</v>
      </c>
      <c r="S7" s="53">
        <f t="shared" si="5"/>
        <v>0.19337197345050014</v>
      </c>
      <c r="T7" s="51">
        <v>2923</v>
      </c>
      <c r="U7" s="51">
        <v>1471</v>
      </c>
      <c r="V7" s="63">
        <v>321</v>
      </c>
      <c r="W7" s="63">
        <v>141</v>
      </c>
      <c r="X7" s="54">
        <f t="shared" si="7"/>
        <v>4856</v>
      </c>
      <c r="Y7" s="55">
        <f t="shared" si="8"/>
        <v>0.22697952697017856</v>
      </c>
      <c r="Z7" s="51">
        <v>1609</v>
      </c>
      <c r="AA7" s="51">
        <v>1758</v>
      </c>
      <c r="AB7" s="63">
        <v>880</v>
      </c>
      <c r="AC7" s="63">
        <v>401</v>
      </c>
      <c r="AD7" s="54">
        <f t="shared" si="10"/>
        <v>4648</v>
      </c>
      <c r="AE7" s="55">
        <f t="shared" si="11"/>
        <v>0.21725717490885296</v>
      </c>
      <c r="AF7" s="63">
        <v>455</v>
      </c>
      <c r="AG7" s="51">
        <v>1327</v>
      </c>
      <c r="AH7" s="51">
        <v>1271</v>
      </c>
      <c r="AI7" s="51">
        <v>1117</v>
      </c>
      <c r="AJ7" s="52">
        <f t="shared" si="13"/>
        <v>4170</v>
      </c>
      <c r="AK7" s="56">
        <f t="shared" si="14"/>
        <v>0.19491446199869122</v>
      </c>
      <c r="AL7" s="64">
        <v>138</v>
      </c>
      <c r="AM7" s="64">
        <v>710</v>
      </c>
      <c r="AN7" s="52">
        <v>1095</v>
      </c>
      <c r="AO7" s="52">
        <v>1640</v>
      </c>
      <c r="AP7" s="52">
        <f t="shared" si="16"/>
        <v>3583</v>
      </c>
      <c r="AQ7" s="57">
        <f t="shared" si="17"/>
        <v>0.16747686267177714</v>
      </c>
      <c r="AR7" s="58">
        <f t="shared" si="18"/>
        <v>0.36239132467046836</v>
      </c>
    </row>
    <row r="8" spans="1:44">
      <c r="A8" s="43">
        <v>10</v>
      </c>
      <c r="B8" s="44" t="s">
        <v>27</v>
      </c>
      <c r="C8" s="44" t="s">
        <v>33</v>
      </c>
      <c r="D8" s="62" t="s">
        <v>29</v>
      </c>
      <c r="E8" s="45">
        <v>24</v>
      </c>
      <c r="F8" s="46">
        <v>24</v>
      </c>
      <c r="G8" s="47">
        <f t="shared" si="19"/>
        <v>1</v>
      </c>
      <c r="H8" s="48">
        <v>12642</v>
      </c>
      <c r="I8" s="49">
        <f t="shared" si="20"/>
        <v>3184</v>
      </c>
      <c r="J8" s="49">
        <f t="shared" si="20"/>
        <v>2977</v>
      </c>
      <c r="K8" s="49">
        <f t="shared" si="20"/>
        <v>2791</v>
      </c>
      <c r="L8" s="49">
        <f t="shared" si="20"/>
        <v>3106</v>
      </c>
      <c r="M8" s="50">
        <f t="shared" si="2"/>
        <v>12058</v>
      </c>
      <c r="N8" s="49">
        <v>1550</v>
      </c>
      <c r="O8" s="51">
        <v>827</v>
      </c>
      <c r="P8" s="51">
        <v>596</v>
      </c>
      <c r="Q8" s="51">
        <v>246</v>
      </c>
      <c r="R8" s="52">
        <f t="shared" si="4"/>
        <v>3219</v>
      </c>
      <c r="S8" s="53">
        <f t="shared" si="5"/>
        <v>0.26695969480842596</v>
      </c>
      <c r="T8" s="63">
        <v>747</v>
      </c>
      <c r="U8" s="63">
        <v>626</v>
      </c>
      <c r="V8" s="63">
        <v>267</v>
      </c>
      <c r="W8" s="63">
        <v>212</v>
      </c>
      <c r="X8" s="54">
        <f t="shared" si="7"/>
        <v>1852</v>
      </c>
      <c r="Y8" s="55">
        <f t="shared" si="8"/>
        <v>0.15359097694476695</v>
      </c>
      <c r="Z8" s="63">
        <v>635</v>
      </c>
      <c r="AA8" s="63">
        <v>580</v>
      </c>
      <c r="AB8" s="63">
        <v>402</v>
      </c>
      <c r="AC8" s="63">
        <v>454</v>
      </c>
      <c r="AD8" s="54">
        <f t="shared" si="10"/>
        <v>2071</v>
      </c>
      <c r="AE8" s="55">
        <f t="shared" si="11"/>
        <v>0.1717531929009786</v>
      </c>
      <c r="AF8" s="63">
        <v>192</v>
      </c>
      <c r="AG8" s="63">
        <v>539</v>
      </c>
      <c r="AH8" s="63">
        <v>842</v>
      </c>
      <c r="AI8" s="51">
        <v>1001</v>
      </c>
      <c r="AJ8" s="52">
        <f t="shared" si="13"/>
        <v>2574</v>
      </c>
      <c r="AK8" s="56">
        <f t="shared" si="14"/>
        <v>0.21346823685519986</v>
      </c>
      <c r="AL8" s="64">
        <v>60</v>
      </c>
      <c r="AM8" s="64">
        <v>405</v>
      </c>
      <c r="AN8" s="64">
        <v>684</v>
      </c>
      <c r="AO8" s="52">
        <v>1193</v>
      </c>
      <c r="AP8" s="52">
        <f t="shared" si="16"/>
        <v>2342</v>
      </c>
      <c r="AQ8" s="57">
        <f t="shared" si="17"/>
        <v>0.19422789849062863</v>
      </c>
      <c r="AR8" s="58">
        <f t="shared" si="18"/>
        <v>0.40769613534582849</v>
      </c>
    </row>
    <row r="9" spans="1:44">
      <c r="A9" s="43">
        <v>11</v>
      </c>
      <c r="B9" s="44" t="s">
        <v>27</v>
      </c>
      <c r="C9" s="44" t="s">
        <v>34</v>
      </c>
      <c r="D9" s="62" t="s">
        <v>29</v>
      </c>
      <c r="E9" s="45">
        <v>310</v>
      </c>
      <c r="F9" s="46">
        <v>304</v>
      </c>
      <c r="G9" s="47">
        <f t="shared" si="19"/>
        <v>0.98064516129032253</v>
      </c>
      <c r="H9" s="48">
        <v>29297</v>
      </c>
      <c r="I9" s="49">
        <f t="shared" si="20"/>
        <v>9494</v>
      </c>
      <c r="J9" s="49">
        <f t="shared" si="20"/>
        <v>7428</v>
      </c>
      <c r="K9" s="49">
        <f t="shared" si="20"/>
        <v>5138</v>
      </c>
      <c r="L9" s="49">
        <f t="shared" si="20"/>
        <v>4719</v>
      </c>
      <c r="M9" s="50">
        <f t="shared" si="2"/>
        <v>26779</v>
      </c>
      <c r="N9" s="49">
        <v>3115</v>
      </c>
      <c r="O9" s="51">
        <v>771</v>
      </c>
      <c r="P9" s="51">
        <v>253</v>
      </c>
      <c r="Q9" s="51">
        <v>74</v>
      </c>
      <c r="R9" s="52">
        <f t="shared" si="4"/>
        <v>4213</v>
      </c>
      <c r="S9" s="53">
        <f t="shared" si="5"/>
        <v>0.15732476940886517</v>
      </c>
      <c r="T9" s="51">
        <v>3295</v>
      </c>
      <c r="U9" s="51">
        <v>1735</v>
      </c>
      <c r="V9" s="63">
        <v>667</v>
      </c>
      <c r="W9" s="63">
        <v>248</v>
      </c>
      <c r="X9" s="54">
        <f t="shared" si="7"/>
        <v>5945</v>
      </c>
      <c r="Y9" s="55">
        <f t="shared" si="8"/>
        <v>0.22200231524702191</v>
      </c>
      <c r="Z9" s="51">
        <v>2073</v>
      </c>
      <c r="AA9" s="51">
        <v>2182</v>
      </c>
      <c r="AB9" s="51">
        <v>1450</v>
      </c>
      <c r="AC9" s="63">
        <v>818</v>
      </c>
      <c r="AD9" s="54">
        <f t="shared" si="10"/>
        <v>6523</v>
      </c>
      <c r="AE9" s="55">
        <f t="shared" si="11"/>
        <v>0.24358639232234214</v>
      </c>
      <c r="AF9" s="63">
        <v>741</v>
      </c>
      <c r="AG9" s="51">
        <v>1678</v>
      </c>
      <c r="AH9" s="51">
        <v>1519</v>
      </c>
      <c r="AI9" s="51">
        <v>1496</v>
      </c>
      <c r="AJ9" s="52">
        <f t="shared" si="13"/>
        <v>5434</v>
      </c>
      <c r="AK9" s="56">
        <f t="shared" si="14"/>
        <v>0.20292019866313155</v>
      </c>
      <c r="AL9" s="64">
        <v>270</v>
      </c>
      <c r="AM9" s="52">
        <v>1062</v>
      </c>
      <c r="AN9" s="52">
        <v>1249</v>
      </c>
      <c r="AO9" s="52">
        <v>2083</v>
      </c>
      <c r="AP9" s="52">
        <f t="shared" si="16"/>
        <v>4664</v>
      </c>
      <c r="AQ9" s="57">
        <f t="shared" si="17"/>
        <v>0.17416632435863924</v>
      </c>
      <c r="AR9" s="58">
        <f t="shared" si="18"/>
        <v>0.37708652302177081</v>
      </c>
    </row>
    <row r="10" spans="1:44">
      <c r="A10" s="43">
        <v>12</v>
      </c>
      <c r="B10" s="44" t="s">
        <v>27</v>
      </c>
      <c r="C10" s="44" t="s">
        <v>35</v>
      </c>
      <c r="D10" s="62" t="s">
        <v>29</v>
      </c>
      <c r="E10" s="45">
        <v>247</v>
      </c>
      <c r="F10" s="46">
        <v>246</v>
      </c>
      <c r="G10" s="47">
        <f t="shared" si="19"/>
        <v>0.99595141700404854</v>
      </c>
      <c r="H10" s="48">
        <v>19806</v>
      </c>
      <c r="I10" s="49">
        <f t="shared" si="20"/>
        <v>7406</v>
      </c>
      <c r="J10" s="49">
        <f t="shared" si="20"/>
        <v>5486</v>
      </c>
      <c r="K10" s="49">
        <f t="shared" si="20"/>
        <v>3484</v>
      </c>
      <c r="L10" s="49">
        <f t="shared" si="20"/>
        <v>2341</v>
      </c>
      <c r="M10" s="50">
        <f t="shared" si="2"/>
        <v>18717</v>
      </c>
      <c r="N10" s="49">
        <v>2558</v>
      </c>
      <c r="O10" s="51">
        <v>678</v>
      </c>
      <c r="P10" s="51">
        <v>122</v>
      </c>
      <c r="Q10" s="51">
        <v>19</v>
      </c>
      <c r="R10" s="52">
        <f t="shared" si="4"/>
        <v>3377</v>
      </c>
      <c r="S10" s="53">
        <f t="shared" si="5"/>
        <v>0.18042421328204306</v>
      </c>
      <c r="T10" s="51">
        <v>2288</v>
      </c>
      <c r="U10" s="51">
        <v>1173</v>
      </c>
      <c r="V10" s="63">
        <v>403</v>
      </c>
      <c r="W10" s="63">
        <v>160</v>
      </c>
      <c r="X10" s="54">
        <f t="shared" si="7"/>
        <v>4024</v>
      </c>
      <c r="Y10" s="55">
        <f t="shared" si="8"/>
        <v>0.21499171875834802</v>
      </c>
      <c r="Z10" s="51">
        <v>1600</v>
      </c>
      <c r="AA10" s="51">
        <v>1483</v>
      </c>
      <c r="AB10" s="63">
        <v>824</v>
      </c>
      <c r="AC10" s="63">
        <v>416</v>
      </c>
      <c r="AD10" s="54">
        <f t="shared" si="10"/>
        <v>4323</v>
      </c>
      <c r="AE10" s="55">
        <f t="shared" si="11"/>
        <v>0.23096650104183364</v>
      </c>
      <c r="AF10" s="63">
        <v>702</v>
      </c>
      <c r="AG10" s="51">
        <v>1292</v>
      </c>
      <c r="AH10" s="51">
        <v>1129</v>
      </c>
      <c r="AI10" s="63">
        <v>805</v>
      </c>
      <c r="AJ10" s="52">
        <f t="shared" si="13"/>
        <v>3928</v>
      </c>
      <c r="AK10" s="56">
        <f t="shared" si="14"/>
        <v>0.20986269167067373</v>
      </c>
      <c r="AL10" s="64">
        <v>258</v>
      </c>
      <c r="AM10" s="64">
        <v>860</v>
      </c>
      <c r="AN10" s="52">
        <v>1006</v>
      </c>
      <c r="AO10" s="64">
        <v>941</v>
      </c>
      <c r="AP10" s="52">
        <f t="shared" si="16"/>
        <v>3065</v>
      </c>
      <c r="AQ10" s="57">
        <f t="shared" si="17"/>
        <v>0.16375487524710156</v>
      </c>
      <c r="AR10" s="58">
        <f t="shared" si="18"/>
        <v>0.37361756691777526</v>
      </c>
    </row>
    <row r="11" spans="1:44">
      <c r="A11" s="28" t="s">
        <v>36</v>
      </c>
      <c r="B11" s="5"/>
      <c r="C11" s="29"/>
      <c r="D11" s="30"/>
      <c r="E11" s="33">
        <f t="shared" ref="E11:F11" si="21">SUM(E12:E14)</f>
        <v>526</v>
      </c>
      <c r="F11" s="33">
        <f t="shared" si="21"/>
        <v>468</v>
      </c>
      <c r="G11" s="59">
        <f t="shared" si="19"/>
        <v>0.88973384030418246</v>
      </c>
      <c r="H11" s="32"/>
      <c r="I11" s="33">
        <f>SUM(I12:I14)</f>
        <v>14669</v>
      </c>
      <c r="J11" s="33">
        <f t="shared" ref="J11:L11" si="22">SUM(J12:J14)</f>
        <v>10706</v>
      </c>
      <c r="K11" s="33">
        <f t="shared" si="22"/>
        <v>7003</v>
      </c>
      <c r="L11" s="33">
        <f t="shared" si="22"/>
        <v>4950</v>
      </c>
      <c r="M11" s="34">
        <f t="shared" si="2"/>
        <v>37328</v>
      </c>
      <c r="N11" s="33">
        <f t="shared" ref="N11:Q11" si="23">SUM(N12:N14)</f>
        <v>4115</v>
      </c>
      <c r="O11" s="33">
        <f t="shared" si="23"/>
        <v>1063</v>
      </c>
      <c r="P11" s="33">
        <f t="shared" si="23"/>
        <v>194</v>
      </c>
      <c r="Q11" s="33">
        <f t="shared" si="23"/>
        <v>49</v>
      </c>
      <c r="R11" s="36">
        <f t="shared" si="4"/>
        <v>5421</v>
      </c>
      <c r="S11" s="37">
        <f t="shared" si="5"/>
        <v>0.14522610372910416</v>
      </c>
      <c r="T11" s="33">
        <f t="shared" ref="T11:W11" si="24">SUM(T12:T14)</f>
        <v>4564</v>
      </c>
      <c r="U11" s="33">
        <f t="shared" si="24"/>
        <v>2086</v>
      </c>
      <c r="V11" s="33">
        <f t="shared" si="24"/>
        <v>565</v>
      </c>
      <c r="W11" s="33">
        <f t="shared" si="24"/>
        <v>136</v>
      </c>
      <c r="X11" s="38">
        <f t="shared" si="7"/>
        <v>7351</v>
      </c>
      <c r="Y11" s="39">
        <f t="shared" si="8"/>
        <v>0.19692991855979425</v>
      </c>
      <c r="Z11" s="33">
        <f t="shared" ref="Z11:AC11" si="25">SUM(Z12:Z14)</f>
        <v>3552</v>
      </c>
      <c r="AA11" s="33">
        <f t="shared" si="25"/>
        <v>3287</v>
      </c>
      <c r="AB11" s="33">
        <f t="shared" si="25"/>
        <v>1701</v>
      </c>
      <c r="AC11" s="33">
        <f t="shared" si="25"/>
        <v>727</v>
      </c>
      <c r="AD11" s="38">
        <f t="shared" si="10"/>
        <v>9267</v>
      </c>
      <c r="AE11" s="39">
        <f t="shared" si="11"/>
        <v>0.24825867981140162</v>
      </c>
      <c r="AF11" s="33">
        <f t="shared" ref="AF11:AI11" si="26">SUM(AF12:AF14)</f>
        <v>1780</v>
      </c>
      <c r="AG11" s="33">
        <f t="shared" si="26"/>
        <v>2686</v>
      </c>
      <c r="AH11" s="33">
        <f t="shared" si="26"/>
        <v>2508</v>
      </c>
      <c r="AI11" s="33">
        <f t="shared" si="26"/>
        <v>1690</v>
      </c>
      <c r="AJ11" s="36">
        <f t="shared" si="13"/>
        <v>8664</v>
      </c>
      <c r="AK11" s="40">
        <f t="shared" si="14"/>
        <v>0.23210458636948136</v>
      </c>
      <c r="AL11" s="33">
        <f t="shared" ref="AL11:AO11" si="27">SUM(AL12:AL14)</f>
        <v>658</v>
      </c>
      <c r="AM11" s="33">
        <f t="shared" si="27"/>
        <v>1584</v>
      </c>
      <c r="AN11" s="33">
        <f t="shared" si="27"/>
        <v>2035</v>
      </c>
      <c r="AO11" s="33">
        <f t="shared" si="27"/>
        <v>2348</v>
      </c>
      <c r="AP11" s="36">
        <f t="shared" si="16"/>
        <v>6625</v>
      </c>
      <c r="AQ11" s="41">
        <f t="shared" si="17"/>
        <v>0.1774807115302186</v>
      </c>
      <c r="AR11" s="42">
        <f t="shared" si="18"/>
        <v>0.4095852978997</v>
      </c>
    </row>
    <row r="12" spans="1:44">
      <c r="A12" s="43">
        <v>13</v>
      </c>
      <c r="B12" s="44" t="s">
        <v>37</v>
      </c>
      <c r="C12" s="44" t="s">
        <v>38</v>
      </c>
      <c r="D12" s="62" t="s">
        <v>29</v>
      </c>
      <c r="E12" s="45">
        <v>250</v>
      </c>
      <c r="F12" s="46">
        <v>242</v>
      </c>
      <c r="G12" s="47">
        <f t="shared" si="19"/>
        <v>0.96799999999999997</v>
      </c>
      <c r="H12" s="48"/>
      <c r="I12" s="49">
        <f t="shared" ref="I12:L15" si="28">N12+T12+Z12+AF12+AL12</f>
        <v>7545</v>
      </c>
      <c r="J12" s="49">
        <f t="shared" si="28"/>
        <v>5602</v>
      </c>
      <c r="K12" s="49">
        <f t="shared" si="28"/>
        <v>3639</v>
      </c>
      <c r="L12" s="49">
        <f t="shared" si="28"/>
        <v>2533</v>
      </c>
      <c r="M12" s="50">
        <f>SUM(I12:L12)</f>
        <v>19319</v>
      </c>
      <c r="N12" s="49">
        <v>2173</v>
      </c>
      <c r="O12" s="51">
        <v>622</v>
      </c>
      <c r="P12" s="51">
        <v>104</v>
      </c>
      <c r="Q12" s="51">
        <v>3</v>
      </c>
      <c r="R12" s="52">
        <f t="shared" si="4"/>
        <v>2902</v>
      </c>
      <c r="S12" s="53">
        <f t="shared" si="5"/>
        <v>0.15021481443138879</v>
      </c>
      <c r="T12" s="63">
        <v>2173</v>
      </c>
      <c r="U12" s="63">
        <v>1004</v>
      </c>
      <c r="V12" s="63">
        <v>273</v>
      </c>
      <c r="W12" s="63">
        <v>83</v>
      </c>
      <c r="X12" s="54">
        <f t="shared" si="7"/>
        <v>3533</v>
      </c>
      <c r="Y12" s="55">
        <f t="shared" si="8"/>
        <v>0.18287696050520214</v>
      </c>
      <c r="Z12" s="63">
        <v>1800</v>
      </c>
      <c r="AA12" s="63">
        <v>1552</v>
      </c>
      <c r="AB12" s="63">
        <v>840</v>
      </c>
      <c r="AC12" s="63">
        <v>371</v>
      </c>
      <c r="AD12" s="54">
        <f t="shared" si="10"/>
        <v>4563</v>
      </c>
      <c r="AE12" s="55">
        <f t="shared" si="11"/>
        <v>0.23619234950049176</v>
      </c>
      <c r="AF12" s="63">
        <v>945</v>
      </c>
      <c r="AG12" s="63">
        <v>1428</v>
      </c>
      <c r="AH12" s="63">
        <v>1241</v>
      </c>
      <c r="AI12" s="63">
        <v>875</v>
      </c>
      <c r="AJ12" s="52">
        <f t="shared" si="13"/>
        <v>4489</v>
      </c>
      <c r="AK12" s="56">
        <f t="shared" si="14"/>
        <v>0.23236192349500492</v>
      </c>
      <c r="AL12" s="64">
        <v>454</v>
      </c>
      <c r="AM12" s="64">
        <v>996</v>
      </c>
      <c r="AN12" s="52">
        <v>1181</v>
      </c>
      <c r="AO12" s="64">
        <v>1201</v>
      </c>
      <c r="AP12" s="52">
        <f t="shared" si="16"/>
        <v>3832</v>
      </c>
      <c r="AQ12" s="57">
        <f t="shared" si="17"/>
        <v>0.19835395206791243</v>
      </c>
      <c r="AR12" s="58">
        <f t="shared" si="18"/>
        <v>0.43071587556291735</v>
      </c>
    </row>
    <row r="13" spans="1:44">
      <c r="A13" s="43">
        <v>15</v>
      </c>
      <c r="B13" s="44" t="s">
        <v>37</v>
      </c>
      <c r="C13" s="44" t="s">
        <v>39</v>
      </c>
      <c r="D13" s="62" t="s">
        <v>29</v>
      </c>
      <c r="E13" s="45">
        <v>50</v>
      </c>
      <c r="F13" s="46">
        <v>50</v>
      </c>
      <c r="G13" s="47">
        <f t="shared" si="19"/>
        <v>1</v>
      </c>
      <c r="H13" s="48"/>
      <c r="I13" s="49">
        <f t="shared" si="28"/>
        <v>1105</v>
      </c>
      <c r="J13" s="49">
        <f t="shared" si="28"/>
        <v>787</v>
      </c>
      <c r="K13" s="49">
        <f t="shared" si="28"/>
        <v>531</v>
      </c>
      <c r="L13" s="49">
        <f t="shared" si="28"/>
        <v>439</v>
      </c>
      <c r="M13" s="50">
        <f t="shared" si="2"/>
        <v>2862</v>
      </c>
      <c r="N13" s="49">
        <v>281</v>
      </c>
      <c r="O13" s="51">
        <v>84</v>
      </c>
      <c r="P13" s="51">
        <v>32</v>
      </c>
      <c r="Q13" s="51">
        <v>9</v>
      </c>
      <c r="R13" s="52">
        <f t="shared" si="4"/>
        <v>406</v>
      </c>
      <c r="S13" s="53">
        <f t="shared" si="5"/>
        <v>0.14185883997204751</v>
      </c>
      <c r="T13" s="51">
        <v>376</v>
      </c>
      <c r="U13" s="51">
        <v>157</v>
      </c>
      <c r="V13" s="63">
        <v>45</v>
      </c>
      <c r="W13" s="63">
        <v>20</v>
      </c>
      <c r="X13" s="54">
        <f t="shared" si="7"/>
        <v>598</v>
      </c>
      <c r="Y13" s="55">
        <f t="shared" si="8"/>
        <v>0.20894479385045422</v>
      </c>
      <c r="Z13" s="51">
        <v>241</v>
      </c>
      <c r="AA13" s="51">
        <v>232</v>
      </c>
      <c r="AB13" s="63">
        <v>130</v>
      </c>
      <c r="AC13" s="63">
        <v>31</v>
      </c>
      <c r="AD13" s="54">
        <f t="shared" si="10"/>
        <v>634</v>
      </c>
      <c r="AE13" s="55">
        <f t="shared" si="11"/>
        <v>0.22152341020265548</v>
      </c>
      <c r="AF13" s="51">
        <v>153</v>
      </c>
      <c r="AG13" s="51">
        <v>192</v>
      </c>
      <c r="AH13" s="63">
        <v>157</v>
      </c>
      <c r="AI13" s="63">
        <v>108</v>
      </c>
      <c r="AJ13" s="52">
        <f t="shared" si="13"/>
        <v>610</v>
      </c>
      <c r="AK13" s="56">
        <f t="shared" si="14"/>
        <v>0.21313766596785463</v>
      </c>
      <c r="AL13" s="64">
        <v>54</v>
      </c>
      <c r="AM13" s="64">
        <v>122</v>
      </c>
      <c r="AN13" s="52">
        <v>167</v>
      </c>
      <c r="AO13" s="64">
        <v>271</v>
      </c>
      <c r="AP13" s="52">
        <f t="shared" si="16"/>
        <v>614</v>
      </c>
      <c r="AQ13" s="57">
        <f t="shared" si="17"/>
        <v>0.21453529000698812</v>
      </c>
      <c r="AR13" s="58">
        <f t="shared" si="18"/>
        <v>0.42767295597484278</v>
      </c>
    </row>
    <row r="14" spans="1:44">
      <c r="A14" s="43">
        <v>16</v>
      </c>
      <c r="B14" s="44" t="s">
        <v>37</v>
      </c>
      <c r="C14" s="44" t="s">
        <v>40</v>
      </c>
      <c r="D14" s="62" t="s">
        <v>29</v>
      </c>
      <c r="E14" s="45">
        <v>226</v>
      </c>
      <c r="F14" s="46">
        <v>176</v>
      </c>
      <c r="G14" s="47">
        <f t="shared" si="19"/>
        <v>0.77876106194690264</v>
      </c>
      <c r="H14" s="48"/>
      <c r="I14" s="49">
        <f t="shared" si="28"/>
        <v>6019</v>
      </c>
      <c r="J14" s="49">
        <f t="shared" si="28"/>
        <v>4317</v>
      </c>
      <c r="K14" s="49">
        <f t="shared" si="28"/>
        <v>2833</v>
      </c>
      <c r="L14" s="49">
        <f t="shared" si="28"/>
        <v>1978</v>
      </c>
      <c r="M14" s="50">
        <f t="shared" si="2"/>
        <v>15147</v>
      </c>
      <c r="N14" s="49">
        <v>1661</v>
      </c>
      <c r="O14" s="51">
        <v>357</v>
      </c>
      <c r="P14" s="51">
        <v>58</v>
      </c>
      <c r="Q14" s="51">
        <v>37</v>
      </c>
      <c r="R14" s="52">
        <f t="shared" si="4"/>
        <v>2113</v>
      </c>
      <c r="S14" s="53">
        <f t="shared" si="5"/>
        <v>0.13949957087211989</v>
      </c>
      <c r="T14" s="51">
        <v>2015</v>
      </c>
      <c r="U14" s="51">
        <v>925</v>
      </c>
      <c r="V14" s="63">
        <v>247</v>
      </c>
      <c r="W14" s="63">
        <v>33</v>
      </c>
      <c r="X14" s="54">
        <f t="shared" si="7"/>
        <v>3220</v>
      </c>
      <c r="Y14" s="55">
        <f t="shared" si="8"/>
        <v>0.21258334983825181</v>
      </c>
      <c r="Z14" s="51">
        <v>1511</v>
      </c>
      <c r="AA14" s="51">
        <v>1503</v>
      </c>
      <c r="AB14" s="63">
        <v>731</v>
      </c>
      <c r="AC14" s="63">
        <v>325</v>
      </c>
      <c r="AD14" s="54">
        <f t="shared" si="10"/>
        <v>4070</v>
      </c>
      <c r="AE14" s="55">
        <f t="shared" si="11"/>
        <v>0.26870007262164125</v>
      </c>
      <c r="AF14" s="51">
        <v>682</v>
      </c>
      <c r="AG14" s="51">
        <v>1066</v>
      </c>
      <c r="AH14" s="63">
        <v>1110</v>
      </c>
      <c r="AI14" s="63">
        <v>707</v>
      </c>
      <c r="AJ14" s="52">
        <f t="shared" si="13"/>
        <v>3565</v>
      </c>
      <c r="AK14" s="56">
        <f t="shared" si="14"/>
        <v>0.23536013732092165</v>
      </c>
      <c r="AL14" s="64">
        <v>150</v>
      </c>
      <c r="AM14" s="64">
        <v>466</v>
      </c>
      <c r="AN14" s="52">
        <v>687</v>
      </c>
      <c r="AO14" s="64">
        <v>876</v>
      </c>
      <c r="AP14" s="52">
        <f t="shared" si="16"/>
        <v>2179</v>
      </c>
      <c r="AQ14" s="57">
        <f t="shared" si="17"/>
        <v>0.14385686934706543</v>
      </c>
      <c r="AR14" s="58">
        <f t="shared" si="18"/>
        <v>0.37921700666798708</v>
      </c>
    </row>
    <row r="15" spans="1:44">
      <c r="A15" s="28" t="s">
        <v>41</v>
      </c>
      <c r="B15" s="5"/>
      <c r="C15" s="29"/>
      <c r="D15" s="30"/>
      <c r="E15" s="30">
        <f t="shared" ref="E15:F15" si="29">E16+E17+E18+E19+E20+E21+E22</f>
        <v>1139</v>
      </c>
      <c r="F15" s="30">
        <f t="shared" si="29"/>
        <v>1138</v>
      </c>
      <c r="G15" s="59">
        <f t="shared" si="19"/>
        <v>0.99912203687445122</v>
      </c>
      <c r="H15" s="32"/>
      <c r="I15" s="33">
        <f>N15+T15+Z15+AF15+AL15</f>
        <v>31723</v>
      </c>
      <c r="J15" s="33">
        <f t="shared" si="28"/>
        <v>38004</v>
      </c>
      <c r="K15" s="33">
        <f t="shared" si="28"/>
        <v>28901</v>
      </c>
      <c r="L15" s="33">
        <f t="shared" si="28"/>
        <v>21999</v>
      </c>
      <c r="M15" s="34">
        <f t="shared" si="2"/>
        <v>120627</v>
      </c>
      <c r="N15" s="33">
        <f>+SUM(N16:N22)</f>
        <v>871</v>
      </c>
      <c r="O15" s="33">
        <f t="shared" ref="O15:Q15" si="30">+SUM(O16:O22)</f>
        <v>4223</v>
      </c>
      <c r="P15" s="33">
        <f t="shared" si="30"/>
        <v>1044</v>
      </c>
      <c r="Q15" s="33">
        <f t="shared" si="30"/>
        <v>346</v>
      </c>
      <c r="R15" s="36">
        <f t="shared" si="4"/>
        <v>6484</v>
      </c>
      <c r="S15" s="37">
        <f t="shared" si="5"/>
        <v>5.3752476642874317E-2</v>
      </c>
      <c r="T15" s="60">
        <f>+SUM(T16:T22)</f>
        <v>14005</v>
      </c>
      <c r="U15" s="60">
        <f t="shared" ref="U15:W15" si="31">+SUM(U16:U22)</f>
        <v>7165</v>
      </c>
      <c r="V15" s="60">
        <f t="shared" si="31"/>
        <v>2240</v>
      </c>
      <c r="W15" s="60">
        <f t="shared" si="31"/>
        <v>653</v>
      </c>
      <c r="X15" s="38">
        <f t="shared" si="7"/>
        <v>24063</v>
      </c>
      <c r="Y15" s="39">
        <f t="shared" si="8"/>
        <v>0.19948270287746525</v>
      </c>
      <c r="Z15" s="60">
        <f>+SUM(Z16:Z22)</f>
        <v>11277</v>
      </c>
      <c r="AA15" s="60">
        <f t="shared" ref="AA15:AC15" si="32">+SUM(AA16:AA22)</f>
        <v>10530</v>
      </c>
      <c r="AB15" s="60">
        <f t="shared" si="32"/>
        <v>5859</v>
      </c>
      <c r="AC15" s="60">
        <f t="shared" si="32"/>
        <v>2336</v>
      </c>
      <c r="AD15" s="38">
        <f t="shared" si="10"/>
        <v>30002</v>
      </c>
      <c r="AE15" s="39">
        <f t="shared" si="11"/>
        <v>0.24871711971614979</v>
      </c>
      <c r="AF15" s="60">
        <f>+SUM(AF16:AF22)</f>
        <v>4514</v>
      </c>
      <c r="AG15" s="60">
        <f t="shared" ref="AG15:AI15" si="33">+SUM(AG16:AG22)</f>
        <v>10038</v>
      </c>
      <c r="AH15" s="60">
        <f t="shared" si="33"/>
        <v>10258</v>
      </c>
      <c r="AI15" s="60">
        <f t="shared" si="33"/>
        <v>7158</v>
      </c>
      <c r="AJ15" s="36">
        <f t="shared" si="13"/>
        <v>31968</v>
      </c>
      <c r="AK15" s="40">
        <f t="shared" si="14"/>
        <v>0.26501529508319033</v>
      </c>
      <c r="AL15" s="61">
        <f>+SUM(AL16:AL22)</f>
        <v>1056</v>
      </c>
      <c r="AM15" s="61">
        <f t="shared" ref="AM15:AO15" si="34">+SUM(AM16:AM22)</f>
        <v>6048</v>
      </c>
      <c r="AN15" s="61">
        <f t="shared" si="34"/>
        <v>9500</v>
      </c>
      <c r="AO15" s="61">
        <f t="shared" si="34"/>
        <v>11506</v>
      </c>
      <c r="AP15" s="36">
        <f t="shared" si="16"/>
        <v>28110</v>
      </c>
      <c r="AQ15" s="41">
        <f t="shared" si="17"/>
        <v>0.23303240568032033</v>
      </c>
      <c r="AR15" s="42">
        <f t="shared" si="18"/>
        <v>0.49804770076351068</v>
      </c>
    </row>
    <row r="16" spans="1:44">
      <c r="A16" s="43">
        <v>17</v>
      </c>
      <c r="B16" s="44" t="s">
        <v>42</v>
      </c>
      <c r="C16" s="44" t="s">
        <v>43</v>
      </c>
      <c r="D16" s="62" t="s">
        <v>29</v>
      </c>
      <c r="E16" s="65">
        <v>338</v>
      </c>
      <c r="F16" s="65">
        <v>338</v>
      </c>
      <c r="G16" s="47">
        <f t="shared" si="19"/>
        <v>1</v>
      </c>
      <c r="H16" s="48">
        <v>33345</v>
      </c>
      <c r="I16" s="49">
        <v>9356</v>
      </c>
      <c r="J16" s="49">
        <v>8308</v>
      </c>
      <c r="K16" s="49">
        <v>6685</v>
      </c>
      <c r="L16" s="49">
        <v>5187</v>
      </c>
      <c r="M16" s="50">
        <v>29536</v>
      </c>
      <c r="N16" s="66" t="s">
        <v>44</v>
      </c>
      <c r="O16" s="66">
        <v>833</v>
      </c>
      <c r="P16" s="66">
        <v>207</v>
      </c>
      <c r="Q16" s="66">
        <v>69</v>
      </c>
      <c r="R16" s="52">
        <f t="shared" si="4"/>
        <v>1109</v>
      </c>
      <c r="S16" s="53">
        <v>0.123</v>
      </c>
      <c r="T16" s="67">
        <v>3023</v>
      </c>
      <c r="U16" s="68">
        <v>1434</v>
      </c>
      <c r="V16" s="68">
        <v>446</v>
      </c>
      <c r="W16" s="68">
        <v>142</v>
      </c>
      <c r="X16" s="54">
        <f t="shared" si="7"/>
        <v>5045</v>
      </c>
      <c r="Y16" s="55">
        <v>0.17100000000000001</v>
      </c>
      <c r="Z16" s="67">
        <v>2637</v>
      </c>
      <c r="AA16" s="69">
        <v>2371</v>
      </c>
      <c r="AB16" s="69">
        <v>1306</v>
      </c>
      <c r="AC16" s="69">
        <v>457</v>
      </c>
      <c r="AD16" s="54">
        <f t="shared" si="10"/>
        <v>6771</v>
      </c>
      <c r="AE16" s="55">
        <v>0.22900000000000001</v>
      </c>
      <c r="AF16" s="67">
        <v>966</v>
      </c>
      <c r="AG16" s="69">
        <v>2355</v>
      </c>
      <c r="AH16" s="69">
        <v>2280</v>
      </c>
      <c r="AI16" s="69">
        <v>1557</v>
      </c>
      <c r="AJ16" s="52">
        <f t="shared" si="13"/>
        <v>7158</v>
      </c>
      <c r="AK16" s="56">
        <v>0.24199999999999999</v>
      </c>
      <c r="AL16" s="70">
        <v>206</v>
      </c>
      <c r="AM16" s="71">
        <v>1315</v>
      </c>
      <c r="AN16" s="71">
        <v>2446</v>
      </c>
      <c r="AO16" s="71">
        <v>2962</v>
      </c>
      <c r="AP16" s="52">
        <f t="shared" si="16"/>
        <v>6929</v>
      </c>
      <c r="AQ16" s="57">
        <v>0.23499999999999999</v>
      </c>
      <c r="AR16" s="58">
        <f t="shared" si="18"/>
        <v>0.47699999999999998</v>
      </c>
    </row>
    <row r="17" spans="1:44">
      <c r="A17" s="43">
        <v>18</v>
      </c>
      <c r="B17" s="44" t="s">
        <v>42</v>
      </c>
      <c r="C17" s="44" t="s">
        <v>45</v>
      </c>
      <c r="D17" s="62" t="s">
        <v>29</v>
      </c>
      <c r="E17" s="65">
        <v>197</v>
      </c>
      <c r="F17" s="65">
        <v>197</v>
      </c>
      <c r="G17" s="47">
        <f t="shared" si="19"/>
        <v>1</v>
      </c>
      <c r="H17" s="48">
        <v>26815</v>
      </c>
      <c r="I17" s="49">
        <v>8947</v>
      </c>
      <c r="J17" s="49">
        <v>7891</v>
      </c>
      <c r="K17" s="49">
        <v>5443</v>
      </c>
      <c r="L17" s="49">
        <v>3819</v>
      </c>
      <c r="M17" s="50">
        <v>26100</v>
      </c>
      <c r="N17" s="66" t="s">
        <v>46</v>
      </c>
      <c r="O17" s="66">
        <v>956</v>
      </c>
      <c r="P17" s="66">
        <v>277</v>
      </c>
      <c r="Q17" s="66">
        <v>77</v>
      </c>
      <c r="R17" s="52">
        <f t="shared" si="4"/>
        <v>1310</v>
      </c>
      <c r="S17" s="53">
        <v>0.155</v>
      </c>
      <c r="T17" s="67">
        <v>2950</v>
      </c>
      <c r="U17" s="68">
        <v>1597</v>
      </c>
      <c r="V17" s="68">
        <v>402</v>
      </c>
      <c r="W17" s="68">
        <v>77</v>
      </c>
      <c r="X17" s="54">
        <f t="shared" si="7"/>
        <v>5026</v>
      </c>
      <c r="Y17" s="55">
        <v>0.193</v>
      </c>
      <c r="Z17" s="67">
        <v>2257</v>
      </c>
      <c r="AA17" s="69">
        <v>2159</v>
      </c>
      <c r="AB17" s="69">
        <v>1014</v>
      </c>
      <c r="AC17" s="69">
        <v>322</v>
      </c>
      <c r="AD17" s="54">
        <f t="shared" si="10"/>
        <v>5752</v>
      </c>
      <c r="AE17" s="55">
        <v>0.22</v>
      </c>
      <c r="AF17" s="67">
        <v>755</v>
      </c>
      <c r="AG17" s="69">
        <v>1806</v>
      </c>
      <c r="AH17" s="69">
        <v>1796</v>
      </c>
      <c r="AI17" s="69">
        <v>1202</v>
      </c>
      <c r="AJ17" s="52">
        <f t="shared" si="13"/>
        <v>5559</v>
      </c>
      <c r="AK17" s="56">
        <v>0.21299999999999999</v>
      </c>
      <c r="AL17" s="70">
        <v>247</v>
      </c>
      <c r="AM17" s="71">
        <v>1373</v>
      </c>
      <c r="AN17" s="71">
        <v>1954</v>
      </c>
      <c r="AO17" s="71">
        <v>2141</v>
      </c>
      <c r="AP17" s="52">
        <f t="shared" si="16"/>
        <v>5715</v>
      </c>
      <c r="AQ17" s="57">
        <v>0.219</v>
      </c>
      <c r="AR17" s="58">
        <f t="shared" si="18"/>
        <v>0.432</v>
      </c>
    </row>
    <row r="18" spans="1:44">
      <c r="A18" s="43">
        <v>19</v>
      </c>
      <c r="B18" s="44" t="s">
        <v>42</v>
      </c>
      <c r="C18" s="44" t="s">
        <v>47</v>
      </c>
      <c r="D18" s="62" t="s">
        <v>29</v>
      </c>
      <c r="E18" s="65">
        <v>33</v>
      </c>
      <c r="F18" s="65">
        <v>33</v>
      </c>
      <c r="G18" s="47">
        <f t="shared" si="19"/>
        <v>1</v>
      </c>
      <c r="H18" s="48">
        <v>11532</v>
      </c>
      <c r="I18" s="49">
        <v>3205</v>
      </c>
      <c r="J18" s="49">
        <v>3025</v>
      </c>
      <c r="K18" s="49">
        <v>2909</v>
      </c>
      <c r="L18" s="49">
        <v>2393</v>
      </c>
      <c r="M18" s="50">
        <v>11532</v>
      </c>
      <c r="N18" s="66">
        <v>871</v>
      </c>
      <c r="O18" s="66">
        <v>295</v>
      </c>
      <c r="P18" s="66">
        <v>44</v>
      </c>
      <c r="Q18" s="66">
        <v>19</v>
      </c>
      <c r="R18" s="52">
        <f t="shared" si="4"/>
        <v>1229</v>
      </c>
      <c r="S18" s="53">
        <v>0.107</v>
      </c>
      <c r="T18" s="67">
        <v>828</v>
      </c>
      <c r="U18" s="68">
        <v>673</v>
      </c>
      <c r="V18" s="68">
        <v>295</v>
      </c>
      <c r="W18" s="68">
        <v>40</v>
      </c>
      <c r="X18" s="54">
        <f t="shared" si="7"/>
        <v>1836</v>
      </c>
      <c r="Y18" s="55">
        <v>0.159</v>
      </c>
      <c r="Z18" s="67">
        <v>968</v>
      </c>
      <c r="AA18" s="69">
        <v>888</v>
      </c>
      <c r="AB18" s="69">
        <v>555</v>
      </c>
      <c r="AC18" s="69">
        <v>360</v>
      </c>
      <c r="AD18" s="54">
        <f t="shared" si="10"/>
        <v>2771</v>
      </c>
      <c r="AE18" s="55">
        <v>0.24</v>
      </c>
      <c r="AF18" s="67">
        <v>470</v>
      </c>
      <c r="AG18" s="69">
        <v>803</v>
      </c>
      <c r="AH18" s="69">
        <v>1354</v>
      </c>
      <c r="AI18" s="69">
        <v>900</v>
      </c>
      <c r="AJ18" s="52">
        <f t="shared" si="13"/>
        <v>3527</v>
      </c>
      <c r="AK18" s="56">
        <v>0.30599999999999999</v>
      </c>
      <c r="AL18" s="70">
        <v>68</v>
      </c>
      <c r="AM18" s="71">
        <v>366</v>
      </c>
      <c r="AN18" s="71">
        <v>661</v>
      </c>
      <c r="AO18" s="71">
        <v>1074</v>
      </c>
      <c r="AP18" s="52">
        <f t="shared" si="16"/>
        <v>2169</v>
      </c>
      <c r="AQ18" s="57">
        <v>0.188</v>
      </c>
      <c r="AR18" s="58">
        <f t="shared" si="18"/>
        <v>0.49399999999999999</v>
      </c>
    </row>
    <row r="19" spans="1:44">
      <c r="A19" s="43">
        <v>20</v>
      </c>
      <c r="B19" s="44" t="s">
        <v>42</v>
      </c>
      <c r="C19" s="44" t="s">
        <v>48</v>
      </c>
      <c r="D19" s="62" t="s">
        <v>29</v>
      </c>
      <c r="E19" s="65">
        <v>126</v>
      </c>
      <c r="F19" s="65">
        <v>126</v>
      </c>
      <c r="G19" s="47">
        <f t="shared" si="19"/>
        <v>1</v>
      </c>
      <c r="H19" s="48">
        <v>10905</v>
      </c>
      <c r="I19" s="49">
        <v>4172</v>
      </c>
      <c r="J19" s="49">
        <v>2892</v>
      </c>
      <c r="K19" s="49">
        <v>1520</v>
      </c>
      <c r="L19" s="49">
        <v>1066</v>
      </c>
      <c r="M19" s="50">
        <v>9650</v>
      </c>
      <c r="N19" s="66" t="s">
        <v>49</v>
      </c>
      <c r="O19" s="66">
        <v>331</v>
      </c>
      <c r="P19" s="66">
        <v>60</v>
      </c>
      <c r="Q19" s="66">
        <v>27</v>
      </c>
      <c r="R19" s="52">
        <f t="shared" si="4"/>
        <v>418</v>
      </c>
      <c r="S19" s="53">
        <v>0.16800000000000001</v>
      </c>
      <c r="T19" s="67">
        <v>1404</v>
      </c>
      <c r="U19" s="68">
        <v>594</v>
      </c>
      <c r="V19" s="68">
        <v>82</v>
      </c>
      <c r="W19" s="68">
        <v>42</v>
      </c>
      <c r="X19" s="54">
        <f t="shared" si="7"/>
        <v>2122</v>
      </c>
      <c r="Y19" s="55">
        <v>0.22</v>
      </c>
      <c r="Z19" s="67">
        <v>1119</v>
      </c>
      <c r="AA19" s="69">
        <v>867</v>
      </c>
      <c r="AB19" s="69">
        <v>358</v>
      </c>
      <c r="AC19" s="69">
        <v>123</v>
      </c>
      <c r="AD19" s="54">
        <f t="shared" si="10"/>
        <v>2467</v>
      </c>
      <c r="AE19" s="55">
        <v>0.25600000000000001</v>
      </c>
      <c r="AF19" s="67">
        <v>378</v>
      </c>
      <c r="AG19" s="69">
        <v>734</v>
      </c>
      <c r="AH19" s="69">
        <v>599</v>
      </c>
      <c r="AI19" s="69">
        <v>392</v>
      </c>
      <c r="AJ19" s="52">
        <f t="shared" si="13"/>
        <v>2103</v>
      </c>
      <c r="AK19" s="56">
        <v>0.218</v>
      </c>
      <c r="AL19" s="70">
        <v>69</v>
      </c>
      <c r="AM19" s="71">
        <v>366</v>
      </c>
      <c r="AN19" s="71">
        <v>421</v>
      </c>
      <c r="AO19" s="71">
        <v>482</v>
      </c>
      <c r="AP19" s="52">
        <f t="shared" si="16"/>
        <v>1338</v>
      </c>
      <c r="AQ19" s="57">
        <v>0.13900000000000001</v>
      </c>
      <c r="AR19" s="58">
        <f t="shared" si="18"/>
        <v>0.35699999999999998</v>
      </c>
    </row>
    <row r="20" spans="1:44">
      <c r="A20" s="43">
        <v>21</v>
      </c>
      <c r="B20" s="44" t="s">
        <v>42</v>
      </c>
      <c r="C20" s="44" t="s">
        <v>50</v>
      </c>
      <c r="D20" s="62" t="s">
        <v>29</v>
      </c>
      <c r="E20" s="65">
        <v>126</v>
      </c>
      <c r="F20" s="65">
        <v>126</v>
      </c>
      <c r="G20" s="47">
        <f t="shared" si="19"/>
        <v>1</v>
      </c>
      <c r="H20" s="48">
        <v>15450</v>
      </c>
      <c r="I20" s="49">
        <v>5279</v>
      </c>
      <c r="J20" s="49">
        <v>4333</v>
      </c>
      <c r="K20" s="49">
        <v>3237</v>
      </c>
      <c r="L20" s="49">
        <v>2473</v>
      </c>
      <c r="M20" s="50">
        <v>15322</v>
      </c>
      <c r="N20" s="66" t="s">
        <v>51</v>
      </c>
      <c r="O20" s="66">
        <v>773</v>
      </c>
      <c r="P20" s="66">
        <v>187</v>
      </c>
      <c r="Q20" s="66">
        <v>61</v>
      </c>
      <c r="R20" s="52">
        <f t="shared" si="4"/>
        <v>1021</v>
      </c>
      <c r="S20" s="53">
        <v>0.215</v>
      </c>
      <c r="T20" s="67">
        <v>1657</v>
      </c>
      <c r="U20" s="68">
        <v>923</v>
      </c>
      <c r="V20" s="68">
        <v>458</v>
      </c>
      <c r="W20" s="68">
        <v>106</v>
      </c>
      <c r="X20" s="54">
        <f t="shared" si="7"/>
        <v>3144</v>
      </c>
      <c r="Y20" s="55">
        <v>0.20499999999999999</v>
      </c>
      <c r="Z20" s="67">
        <v>927</v>
      </c>
      <c r="AA20" s="69">
        <v>1137</v>
      </c>
      <c r="AB20" s="69">
        <v>883</v>
      </c>
      <c r="AC20" s="69">
        <v>427</v>
      </c>
      <c r="AD20" s="54">
        <f t="shared" si="10"/>
        <v>3374</v>
      </c>
      <c r="AE20" s="55">
        <v>0.22</v>
      </c>
      <c r="AF20" s="67">
        <v>352</v>
      </c>
      <c r="AG20" s="69">
        <v>1008</v>
      </c>
      <c r="AH20" s="69">
        <v>1005</v>
      </c>
      <c r="AI20" s="69">
        <v>891</v>
      </c>
      <c r="AJ20" s="52">
        <f t="shared" si="13"/>
        <v>3256</v>
      </c>
      <c r="AK20" s="56">
        <v>0.21299999999999999</v>
      </c>
      <c r="AL20" s="70">
        <v>73</v>
      </c>
      <c r="AM20" s="71">
        <v>492</v>
      </c>
      <c r="AN20" s="71">
        <v>704</v>
      </c>
      <c r="AO20" s="71">
        <v>988</v>
      </c>
      <c r="AP20" s="52">
        <f t="shared" si="16"/>
        <v>2257</v>
      </c>
      <c r="AQ20" s="57">
        <v>0.14699999999999999</v>
      </c>
      <c r="AR20" s="58">
        <f t="shared" si="18"/>
        <v>0.36</v>
      </c>
    </row>
    <row r="21" spans="1:44">
      <c r="A21" s="43">
        <v>22</v>
      </c>
      <c r="B21" s="44" t="s">
        <v>42</v>
      </c>
      <c r="C21" s="44" t="s">
        <v>52</v>
      </c>
      <c r="D21" s="62" t="s">
        <v>29</v>
      </c>
      <c r="E21" s="65">
        <v>120</v>
      </c>
      <c r="F21" s="65">
        <v>120</v>
      </c>
      <c r="G21" s="47">
        <f t="shared" si="19"/>
        <v>1</v>
      </c>
      <c r="H21" s="48">
        <v>18927</v>
      </c>
      <c r="I21" s="49">
        <v>6150</v>
      </c>
      <c r="J21" s="49">
        <v>5200</v>
      </c>
      <c r="K21" s="49">
        <v>4183</v>
      </c>
      <c r="L21" s="49">
        <v>3375</v>
      </c>
      <c r="M21" s="50">
        <v>18908</v>
      </c>
      <c r="N21" s="66" t="s">
        <v>53</v>
      </c>
      <c r="O21" s="66">
        <v>496</v>
      </c>
      <c r="P21" s="66">
        <v>87</v>
      </c>
      <c r="Q21" s="66">
        <v>31</v>
      </c>
      <c r="R21" s="52">
        <f t="shared" si="4"/>
        <v>614</v>
      </c>
      <c r="S21" s="53">
        <v>0.13</v>
      </c>
      <c r="T21" s="67">
        <v>1713</v>
      </c>
      <c r="U21" s="68">
        <v>843</v>
      </c>
      <c r="V21" s="68">
        <v>217</v>
      </c>
      <c r="W21" s="68">
        <v>188</v>
      </c>
      <c r="X21" s="54">
        <f t="shared" si="7"/>
        <v>2961</v>
      </c>
      <c r="Y21" s="55">
        <v>0.157</v>
      </c>
      <c r="Z21" s="67">
        <v>1723</v>
      </c>
      <c r="AA21" s="69">
        <v>1530</v>
      </c>
      <c r="AB21" s="69">
        <v>869</v>
      </c>
      <c r="AC21" s="69">
        <v>350</v>
      </c>
      <c r="AD21" s="54">
        <f t="shared" si="10"/>
        <v>4472</v>
      </c>
      <c r="AE21" s="55">
        <v>0.23699999999999999</v>
      </c>
      <c r="AF21" s="67">
        <v>714</v>
      </c>
      <c r="AG21" s="69">
        <v>1500</v>
      </c>
      <c r="AH21" s="69">
        <v>1576</v>
      </c>
      <c r="AI21" s="69">
        <v>1099</v>
      </c>
      <c r="AJ21" s="52">
        <f t="shared" si="13"/>
        <v>4889</v>
      </c>
      <c r="AK21" s="56">
        <v>0.25900000000000001</v>
      </c>
      <c r="AL21" s="70">
        <v>160</v>
      </c>
      <c r="AM21" s="71">
        <v>831</v>
      </c>
      <c r="AN21" s="71">
        <v>1434</v>
      </c>
      <c r="AO21" s="71">
        <v>1707</v>
      </c>
      <c r="AP21" s="52">
        <f t="shared" si="16"/>
        <v>4132</v>
      </c>
      <c r="AQ21" s="57">
        <v>0.219</v>
      </c>
      <c r="AR21" s="58">
        <f t="shared" si="18"/>
        <v>0.47799999999999998</v>
      </c>
    </row>
    <row r="22" spans="1:44">
      <c r="A22" s="43">
        <v>23</v>
      </c>
      <c r="B22" s="44" t="s">
        <v>42</v>
      </c>
      <c r="C22" s="44" t="s">
        <v>54</v>
      </c>
      <c r="D22" s="62" t="s">
        <v>29</v>
      </c>
      <c r="E22" s="65">
        <v>199</v>
      </c>
      <c r="F22" s="65">
        <v>198</v>
      </c>
      <c r="G22" s="47">
        <f t="shared" si="19"/>
        <v>0.99497487437185927</v>
      </c>
      <c r="H22" s="48">
        <v>23734</v>
      </c>
      <c r="I22" s="49">
        <v>7379</v>
      </c>
      <c r="J22" s="49">
        <v>6355</v>
      </c>
      <c r="K22" s="49">
        <v>4924</v>
      </c>
      <c r="L22" s="49">
        <v>3686</v>
      </c>
      <c r="M22" s="50">
        <v>22344</v>
      </c>
      <c r="N22" s="66" t="s">
        <v>55</v>
      </c>
      <c r="O22" s="66">
        <v>539</v>
      </c>
      <c r="P22" s="66">
        <v>182</v>
      </c>
      <c r="Q22" s="66">
        <v>62</v>
      </c>
      <c r="R22" s="52">
        <f t="shared" si="4"/>
        <v>783</v>
      </c>
      <c r="S22" s="53">
        <v>0.13300000000000001</v>
      </c>
      <c r="T22" s="67">
        <v>2430</v>
      </c>
      <c r="U22" s="68">
        <v>1101</v>
      </c>
      <c r="V22" s="68">
        <v>340</v>
      </c>
      <c r="W22" s="68">
        <v>58</v>
      </c>
      <c r="X22" s="54">
        <f t="shared" si="7"/>
        <v>3929</v>
      </c>
      <c r="Y22" s="55">
        <v>0.17599999999999999</v>
      </c>
      <c r="Z22" s="67">
        <v>1646</v>
      </c>
      <c r="AA22" s="69">
        <v>1578</v>
      </c>
      <c r="AB22" s="69">
        <v>874</v>
      </c>
      <c r="AC22" s="69">
        <v>297</v>
      </c>
      <c r="AD22" s="54">
        <f t="shared" si="10"/>
        <v>4395</v>
      </c>
      <c r="AE22" s="55">
        <v>0.19700000000000001</v>
      </c>
      <c r="AF22" s="67">
        <v>879</v>
      </c>
      <c r="AG22" s="69">
        <v>1832</v>
      </c>
      <c r="AH22" s="69">
        <v>1648</v>
      </c>
      <c r="AI22" s="69">
        <v>1117</v>
      </c>
      <c r="AJ22" s="52">
        <f t="shared" si="13"/>
        <v>5476</v>
      </c>
      <c r="AK22" s="56">
        <v>0.245</v>
      </c>
      <c r="AL22" s="70">
        <v>233</v>
      </c>
      <c r="AM22" s="71">
        <v>1305</v>
      </c>
      <c r="AN22" s="71">
        <v>1880</v>
      </c>
      <c r="AO22" s="71">
        <v>2152</v>
      </c>
      <c r="AP22" s="52">
        <f t="shared" si="16"/>
        <v>5570</v>
      </c>
      <c r="AQ22" s="57">
        <v>0.249</v>
      </c>
      <c r="AR22" s="58">
        <f t="shared" si="18"/>
        <v>0.49399999999999999</v>
      </c>
    </row>
    <row r="23" spans="1:44">
      <c r="A23" s="28" t="s">
        <v>56</v>
      </c>
      <c r="B23" s="5"/>
      <c r="C23" s="29"/>
      <c r="D23" s="30"/>
      <c r="E23" s="30">
        <f t="shared" ref="E23:F23" si="35">E24+E25+E26+E27+E28+E29+E30</f>
        <v>1380</v>
      </c>
      <c r="F23" s="30">
        <f t="shared" si="35"/>
        <v>1377</v>
      </c>
      <c r="G23" s="59">
        <f t="shared" si="19"/>
        <v>0.99782608695652175</v>
      </c>
      <c r="H23" s="32"/>
      <c r="I23" s="33">
        <f t="shared" ref="I23:L38" si="36">N23+T23+Z23+AF23+AL23</f>
        <v>52125</v>
      </c>
      <c r="J23" s="33">
        <f t="shared" si="36"/>
        <v>46618</v>
      </c>
      <c r="K23" s="33">
        <f t="shared" si="36"/>
        <v>37209</v>
      </c>
      <c r="L23" s="33">
        <f t="shared" si="36"/>
        <v>29620</v>
      </c>
      <c r="M23" s="34">
        <f t="shared" ref="M23:M56" si="37">SUM(I23:L23)</f>
        <v>165572</v>
      </c>
      <c r="N23" s="33">
        <f>+SUM(N24:N30)</f>
        <v>13188</v>
      </c>
      <c r="O23" s="33">
        <f t="shared" ref="O23:Q23" si="38">+SUM(O24:O30)</f>
        <v>3472</v>
      </c>
      <c r="P23" s="33">
        <f t="shared" si="38"/>
        <v>566</v>
      </c>
      <c r="Q23" s="33">
        <f t="shared" si="38"/>
        <v>81</v>
      </c>
      <c r="R23" s="36">
        <f t="shared" si="4"/>
        <v>17307</v>
      </c>
      <c r="S23" s="37">
        <f t="shared" ref="S23:S56" si="39">+IFERROR(R23/$M23,"")</f>
        <v>0.10452854347353417</v>
      </c>
      <c r="T23" s="60">
        <f>+SUM(T24:T30)</f>
        <v>19751</v>
      </c>
      <c r="U23" s="60">
        <f t="shared" ref="U23:W23" si="40">+SUM(U24:U30)</f>
        <v>9994</v>
      </c>
      <c r="V23" s="60">
        <f t="shared" si="40"/>
        <v>3232</v>
      </c>
      <c r="W23" s="60">
        <f t="shared" si="40"/>
        <v>739</v>
      </c>
      <c r="X23" s="38">
        <f t="shared" si="7"/>
        <v>33716</v>
      </c>
      <c r="Y23" s="39">
        <f t="shared" ref="Y23:Y56" si="41">+IFERROR(X23/$M23,"")</f>
        <v>0.203633464595463</v>
      </c>
      <c r="Z23" s="60">
        <f>+SUM(Z24:Z30)</f>
        <v>13846</v>
      </c>
      <c r="AA23" s="60">
        <f t="shared" ref="AA23:AC23" si="42">+SUM(AA24:AA30)</f>
        <v>15965</v>
      </c>
      <c r="AB23" s="60">
        <f t="shared" si="42"/>
        <v>10554</v>
      </c>
      <c r="AC23" s="60">
        <f t="shared" si="42"/>
        <v>4429</v>
      </c>
      <c r="AD23" s="38">
        <f t="shared" si="10"/>
        <v>44794</v>
      </c>
      <c r="AE23" s="39">
        <f t="shared" ref="AE23:AE56" si="43">+IFERROR(AD23/$M23,"")</f>
        <v>0.2705409127147102</v>
      </c>
      <c r="AF23" s="60">
        <f>+SUM(AF24:AF30)</f>
        <v>4663</v>
      </c>
      <c r="AG23" s="60">
        <f t="shared" ref="AG23:AI23" si="44">+SUM(AG24:AG30)</f>
        <v>12814</v>
      </c>
      <c r="AH23" s="60">
        <f t="shared" si="44"/>
        <v>14369</v>
      </c>
      <c r="AI23" s="60">
        <f t="shared" si="44"/>
        <v>12054</v>
      </c>
      <c r="AJ23" s="36">
        <f t="shared" si="13"/>
        <v>43900</v>
      </c>
      <c r="AK23" s="40">
        <f t="shared" ref="AK23:AK56" si="45">+IFERROR(AJ23/$M23,"")</f>
        <v>0.26514144903727682</v>
      </c>
      <c r="AL23" s="61">
        <f>+SUM(AL24:AL30)</f>
        <v>677</v>
      </c>
      <c r="AM23" s="61">
        <f t="shared" ref="AM23:AO23" si="46">+SUM(AM24:AM30)</f>
        <v>4373</v>
      </c>
      <c r="AN23" s="61">
        <f t="shared" si="46"/>
        <v>8488</v>
      </c>
      <c r="AO23" s="61">
        <f t="shared" si="46"/>
        <v>12317</v>
      </c>
      <c r="AP23" s="36">
        <f t="shared" si="16"/>
        <v>25855</v>
      </c>
      <c r="AQ23" s="41">
        <f t="shared" ref="AQ23:AQ56" si="47">+IFERROR(AP23/$M23,"")</f>
        <v>0.15615563017901576</v>
      </c>
      <c r="AR23" s="42">
        <f t="shared" si="18"/>
        <v>0.42129707921629256</v>
      </c>
    </row>
    <row r="24" spans="1:44">
      <c r="A24" s="43">
        <v>24</v>
      </c>
      <c r="B24" s="44" t="s">
        <v>57</v>
      </c>
      <c r="C24" s="44" t="s">
        <v>58</v>
      </c>
      <c r="D24" s="62" t="s">
        <v>29</v>
      </c>
      <c r="E24" s="45">
        <v>186</v>
      </c>
      <c r="F24" s="46">
        <v>186</v>
      </c>
      <c r="G24" s="47">
        <f t="shared" si="19"/>
        <v>1</v>
      </c>
      <c r="H24" s="48">
        <v>27366</v>
      </c>
      <c r="I24" s="49">
        <f t="shared" si="36"/>
        <v>7688</v>
      </c>
      <c r="J24" s="49">
        <f t="shared" si="36"/>
        <v>7117</v>
      </c>
      <c r="K24" s="49">
        <f t="shared" si="36"/>
        <v>5851</v>
      </c>
      <c r="L24" s="49">
        <f t="shared" si="36"/>
        <v>4280</v>
      </c>
      <c r="M24" s="50">
        <f t="shared" si="37"/>
        <v>24936</v>
      </c>
      <c r="N24" s="72">
        <v>1780</v>
      </c>
      <c r="O24" s="72">
        <v>503</v>
      </c>
      <c r="P24" s="72">
        <v>82</v>
      </c>
      <c r="Q24" s="72">
        <v>15</v>
      </c>
      <c r="R24" s="52">
        <f t="shared" si="4"/>
        <v>2380</v>
      </c>
      <c r="S24" s="53">
        <f t="shared" si="39"/>
        <v>9.5444337504010268E-2</v>
      </c>
      <c r="T24" s="72">
        <v>3115</v>
      </c>
      <c r="U24" s="72">
        <v>1612</v>
      </c>
      <c r="V24" s="72">
        <v>517</v>
      </c>
      <c r="W24" s="72">
        <v>90</v>
      </c>
      <c r="X24" s="54">
        <f t="shared" si="7"/>
        <v>5334</v>
      </c>
      <c r="Y24" s="55">
        <f t="shared" si="41"/>
        <v>0.21390760346487006</v>
      </c>
      <c r="Z24" s="72">
        <v>2058</v>
      </c>
      <c r="AA24" s="72">
        <v>2527</v>
      </c>
      <c r="AB24" s="72">
        <v>1686</v>
      </c>
      <c r="AC24" s="72">
        <v>599</v>
      </c>
      <c r="AD24" s="54">
        <f t="shared" si="10"/>
        <v>6870</v>
      </c>
      <c r="AE24" s="55">
        <f t="shared" si="43"/>
        <v>0.27550529355149184</v>
      </c>
      <c r="AF24" s="72">
        <v>621</v>
      </c>
      <c r="AG24" s="72">
        <v>1689</v>
      </c>
      <c r="AH24" s="72">
        <v>2123</v>
      </c>
      <c r="AI24" s="72">
        <v>1700</v>
      </c>
      <c r="AJ24" s="52">
        <f t="shared" si="13"/>
        <v>6133</v>
      </c>
      <c r="AK24" s="56">
        <f t="shared" si="45"/>
        <v>0.24594963105550208</v>
      </c>
      <c r="AL24" s="72">
        <v>114</v>
      </c>
      <c r="AM24" s="72">
        <v>786</v>
      </c>
      <c r="AN24" s="72">
        <v>1443</v>
      </c>
      <c r="AO24" s="72">
        <v>1876</v>
      </c>
      <c r="AP24" s="52">
        <f t="shared" si="16"/>
        <v>4219</v>
      </c>
      <c r="AQ24" s="57">
        <f t="shared" si="47"/>
        <v>0.16919313442412576</v>
      </c>
      <c r="AR24" s="58">
        <f t="shared" si="18"/>
        <v>0.41514276547962781</v>
      </c>
    </row>
    <row r="25" spans="1:44">
      <c r="A25" s="43">
        <v>25</v>
      </c>
      <c r="B25" s="44" t="s">
        <v>57</v>
      </c>
      <c r="C25" s="44" t="s">
        <v>59</v>
      </c>
      <c r="D25" s="62" t="s">
        <v>29</v>
      </c>
      <c r="E25" s="45">
        <v>314</v>
      </c>
      <c r="F25" s="46">
        <v>313</v>
      </c>
      <c r="G25" s="47">
        <f t="shared" si="19"/>
        <v>0.99681528662420382</v>
      </c>
      <c r="H25" s="48">
        <v>35232</v>
      </c>
      <c r="I25" s="49">
        <f t="shared" si="36"/>
        <v>10800</v>
      </c>
      <c r="J25" s="49">
        <f t="shared" si="36"/>
        <v>9492</v>
      </c>
      <c r="K25" s="49">
        <f t="shared" si="36"/>
        <v>7341</v>
      </c>
      <c r="L25" s="49">
        <f t="shared" si="36"/>
        <v>5388</v>
      </c>
      <c r="M25" s="50">
        <f t="shared" si="37"/>
        <v>33021</v>
      </c>
      <c r="N25" s="72">
        <v>2697</v>
      </c>
      <c r="O25" s="72">
        <v>627</v>
      </c>
      <c r="P25" s="72">
        <v>88</v>
      </c>
      <c r="Q25" s="72">
        <v>8</v>
      </c>
      <c r="R25" s="52">
        <f t="shared" si="4"/>
        <v>3420</v>
      </c>
      <c r="S25" s="53">
        <f t="shared" si="39"/>
        <v>0.10357045516489506</v>
      </c>
      <c r="T25" s="72">
        <v>4169</v>
      </c>
      <c r="U25" s="72">
        <v>2091</v>
      </c>
      <c r="V25" s="72">
        <v>674</v>
      </c>
      <c r="W25" s="72">
        <v>166</v>
      </c>
      <c r="X25" s="54">
        <f t="shared" si="7"/>
        <v>7100</v>
      </c>
      <c r="Y25" s="55">
        <f t="shared" si="41"/>
        <v>0.21501468762302778</v>
      </c>
      <c r="Z25" s="72">
        <v>3057</v>
      </c>
      <c r="AA25" s="72">
        <v>3356</v>
      </c>
      <c r="AB25" s="72">
        <v>2042</v>
      </c>
      <c r="AC25" s="72">
        <v>723</v>
      </c>
      <c r="AD25" s="54">
        <f t="shared" si="10"/>
        <v>9178</v>
      </c>
      <c r="AE25" s="55">
        <f t="shared" si="43"/>
        <v>0.27794433845128858</v>
      </c>
      <c r="AF25" s="72">
        <v>816</v>
      </c>
      <c r="AG25" s="72">
        <v>2604</v>
      </c>
      <c r="AH25" s="72">
        <v>2870</v>
      </c>
      <c r="AI25" s="72">
        <v>2103</v>
      </c>
      <c r="AJ25" s="52">
        <f t="shared" si="13"/>
        <v>8393</v>
      </c>
      <c r="AK25" s="56">
        <f t="shared" si="45"/>
        <v>0.25417158777747495</v>
      </c>
      <c r="AL25" s="72">
        <v>61</v>
      </c>
      <c r="AM25" s="72">
        <v>814</v>
      </c>
      <c r="AN25" s="72">
        <v>1667</v>
      </c>
      <c r="AO25" s="72">
        <v>2388</v>
      </c>
      <c r="AP25" s="52">
        <f t="shared" si="16"/>
        <v>4930</v>
      </c>
      <c r="AQ25" s="57">
        <f t="shared" si="47"/>
        <v>0.14929893098331365</v>
      </c>
      <c r="AR25" s="58">
        <f t="shared" si="18"/>
        <v>0.4034705187607886</v>
      </c>
    </row>
    <row r="26" spans="1:44">
      <c r="A26" s="43">
        <v>26</v>
      </c>
      <c r="B26" s="44" t="s">
        <v>57</v>
      </c>
      <c r="C26" s="44" t="s">
        <v>60</v>
      </c>
      <c r="D26" s="62" t="s">
        <v>29</v>
      </c>
      <c r="E26" s="45">
        <v>53</v>
      </c>
      <c r="F26" s="46">
        <v>53</v>
      </c>
      <c r="G26" s="47">
        <f t="shared" si="19"/>
        <v>1</v>
      </c>
      <c r="H26" s="48">
        <v>13095</v>
      </c>
      <c r="I26" s="49">
        <f t="shared" si="36"/>
        <v>3079</v>
      </c>
      <c r="J26" s="49">
        <f t="shared" si="36"/>
        <v>3319</v>
      </c>
      <c r="K26" s="49">
        <f t="shared" si="36"/>
        <v>2866</v>
      </c>
      <c r="L26" s="49">
        <f t="shared" si="36"/>
        <v>2842</v>
      </c>
      <c r="M26" s="50">
        <f t="shared" si="37"/>
        <v>12106</v>
      </c>
      <c r="N26" s="72">
        <v>824</v>
      </c>
      <c r="O26" s="72">
        <v>306</v>
      </c>
      <c r="P26" s="72">
        <v>56</v>
      </c>
      <c r="Q26" s="72">
        <v>9</v>
      </c>
      <c r="R26" s="52">
        <f t="shared" si="4"/>
        <v>1195</v>
      </c>
      <c r="S26" s="53">
        <f t="shared" si="39"/>
        <v>9.8711382785395665E-2</v>
      </c>
      <c r="T26" s="72">
        <v>1075</v>
      </c>
      <c r="U26" s="72">
        <v>794</v>
      </c>
      <c r="V26" s="72">
        <v>200</v>
      </c>
      <c r="W26" s="72">
        <v>76</v>
      </c>
      <c r="X26" s="54">
        <f t="shared" si="7"/>
        <v>2145</v>
      </c>
      <c r="Y26" s="55">
        <f t="shared" si="41"/>
        <v>0.17718486700809516</v>
      </c>
      <c r="Z26" s="72">
        <v>848</v>
      </c>
      <c r="AA26" s="72">
        <v>1030</v>
      </c>
      <c r="AB26" s="72">
        <v>779</v>
      </c>
      <c r="AC26" s="72">
        <v>450</v>
      </c>
      <c r="AD26" s="54">
        <f t="shared" si="10"/>
        <v>3107</v>
      </c>
      <c r="AE26" s="55">
        <f t="shared" si="43"/>
        <v>0.25664959524202874</v>
      </c>
      <c r="AF26" s="72">
        <v>295</v>
      </c>
      <c r="AG26" s="72">
        <v>938</v>
      </c>
      <c r="AH26" s="72">
        <v>1260</v>
      </c>
      <c r="AI26" s="72">
        <v>1258</v>
      </c>
      <c r="AJ26" s="52">
        <f t="shared" si="13"/>
        <v>3751</v>
      </c>
      <c r="AK26" s="56">
        <f t="shared" si="45"/>
        <v>0.3098463571782587</v>
      </c>
      <c r="AL26" s="72">
        <v>37</v>
      </c>
      <c r="AM26" s="72">
        <v>251</v>
      </c>
      <c r="AN26" s="72">
        <v>571</v>
      </c>
      <c r="AO26" s="72">
        <v>1049</v>
      </c>
      <c r="AP26" s="52">
        <f t="shared" si="16"/>
        <v>1908</v>
      </c>
      <c r="AQ26" s="57">
        <f t="shared" si="47"/>
        <v>0.15760779778622172</v>
      </c>
      <c r="AR26" s="58">
        <f t="shared" si="18"/>
        <v>0.4674541549644804</v>
      </c>
    </row>
    <row r="27" spans="1:44">
      <c r="A27" s="43">
        <v>27</v>
      </c>
      <c r="B27" s="44" t="s">
        <v>57</v>
      </c>
      <c r="C27" s="44" t="s">
        <v>61</v>
      </c>
      <c r="D27" s="62" t="s">
        <v>29</v>
      </c>
      <c r="E27" s="45">
        <v>242</v>
      </c>
      <c r="F27" s="46">
        <v>242</v>
      </c>
      <c r="G27" s="47">
        <f t="shared" si="19"/>
        <v>1</v>
      </c>
      <c r="H27" s="48">
        <v>37553</v>
      </c>
      <c r="I27" s="49">
        <f t="shared" si="36"/>
        <v>10805</v>
      </c>
      <c r="J27" s="49">
        <f t="shared" si="36"/>
        <v>9329</v>
      </c>
      <c r="K27" s="49">
        <f t="shared" si="36"/>
        <v>7193</v>
      </c>
      <c r="L27" s="49">
        <f t="shared" si="36"/>
        <v>6131</v>
      </c>
      <c r="M27" s="50">
        <f t="shared" si="37"/>
        <v>33458</v>
      </c>
      <c r="N27" s="72">
        <v>3419</v>
      </c>
      <c r="O27" s="72">
        <v>916</v>
      </c>
      <c r="P27" s="72">
        <v>152</v>
      </c>
      <c r="Q27" s="72">
        <v>22</v>
      </c>
      <c r="R27" s="52">
        <f t="shared" si="4"/>
        <v>4509</v>
      </c>
      <c r="S27" s="53">
        <f t="shared" si="39"/>
        <v>0.13476597525255543</v>
      </c>
      <c r="T27" s="72">
        <v>4110</v>
      </c>
      <c r="U27" s="72">
        <v>2077</v>
      </c>
      <c r="V27" s="72">
        <v>701</v>
      </c>
      <c r="W27" s="72">
        <v>175</v>
      </c>
      <c r="X27" s="54">
        <f t="shared" si="7"/>
        <v>7063</v>
      </c>
      <c r="Y27" s="55">
        <f t="shared" si="41"/>
        <v>0.21110048418913263</v>
      </c>
      <c r="Z27" s="72">
        <v>2360</v>
      </c>
      <c r="AA27" s="72">
        <v>2918</v>
      </c>
      <c r="AB27" s="72">
        <v>2034</v>
      </c>
      <c r="AC27" s="72">
        <v>1070</v>
      </c>
      <c r="AD27" s="54">
        <f t="shared" si="10"/>
        <v>8382</v>
      </c>
      <c r="AE27" s="55">
        <f t="shared" si="43"/>
        <v>0.25052304381612767</v>
      </c>
      <c r="AF27" s="72">
        <v>808</v>
      </c>
      <c r="AG27" s="72">
        <v>2578</v>
      </c>
      <c r="AH27" s="72">
        <v>2841</v>
      </c>
      <c r="AI27" s="72">
        <v>2617</v>
      </c>
      <c r="AJ27" s="52">
        <f t="shared" si="13"/>
        <v>8844</v>
      </c>
      <c r="AK27" s="56">
        <f t="shared" si="45"/>
        <v>0.26433140056189852</v>
      </c>
      <c r="AL27" s="72">
        <v>108</v>
      </c>
      <c r="AM27" s="72">
        <v>840</v>
      </c>
      <c r="AN27" s="72">
        <v>1465</v>
      </c>
      <c r="AO27" s="72">
        <v>2247</v>
      </c>
      <c r="AP27" s="52">
        <f t="shared" si="16"/>
        <v>4660</v>
      </c>
      <c r="AQ27" s="57">
        <f t="shared" si="47"/>
        <v>0.13927909618028572</v>
      </c>
      <c r="AR27" s="58">
        <f t="shared" si="18"/>
        <v>0.40361049674218424</v>
      </c>
    </row>
    <row r="28" spans="1:44">
      <c r="A28" s="43">
        <v>28</v>
      </c>
      <c r="B28" s="44" t="s">
        <v>57</v>
      </c>
      <c r="C28" s="44" t="s">
        <v>62</v>
      </c>
      <c r="D28" s="62" t="s">
        <v>29</v>
      </c>
      <c r="E28" s="45">
        <v>253</v>
      </c>
      <c r="F28" s="46">
        <v>251</v>
      </c>
      <c r="G28" s="47">
        <f t="shared" si="19"/>
        <v>0.9920948616600791</v>
      </c>
      <c r="H28" s="48">
        <v>29580</v>
      </c>
      <c r="I28" s="49">
        <f t="shared" si="36"/>
        <v>8899</v>
      </c>
      <c r="J28" s="49">
        <f t="shared" si="36"/>
        <v>7662</v>
      </c>
      <c r="K28" s="49">
        <f t="shared" si="36"/>
        <v>5874</v>
      </c>
      <c r="L28" s="49">
        <f t="shared" si="36"/>
        <v>4705</v>
      </c>
      <c r="M28" s="50">
        <f t="shared" si="37"/>
        <v>27140</v>
      </c>
      <c r="N28" s="72">
        <v>2051</v>
      </c>
      <c r="O28" s="72">
        <v>538</v>
      </c>
      <c r="P28" s="72">
        <v>75</v>
      </c>
      <c r="Q28" s="72">
        <v>21</v>
      </c>
      <c r="R28" s="52">
        <f t="shared" si="4"/>
        <v>2685</v>
      </c>
      <c r="S28" s="53">
        <f t="shared" si="39"/>
        <v>9.8931466470154758E-2</v>
      </c>
      <c r="T28" s="72">
        <v>3095</v>
      </c>
      <c r="U28" s="72">
        <v>1459</v>
      </c>
      <c r="V28" s="72">
        <v>427</v>
      </c>
      <c r="W28" s="72">
        <v>78</v>
      </c>
      <c r="X28" s="54">
        <f t="shared" si="7"/>
        <v>5059</v>
      </c>
      <c r="Y28" s="55">
        <f t="shared" si="41"/>
        <v>0.18640383198231392</v>
      </c>
      <c r="Z28" s="72">
        <v>2392</v>
      </c>
      <c r="AA28" s="72">
        <v>2551</v>
      </c>
      <c r="AB28" s="72">
        <v>1580</v>
      </c>
      <c r="AC28" s="72">
        <v>645</v>
      </c>
      <c r="AD28" s="54">
        <f t="shared" si="10"/>
        <v>7168</v>
      </c>
      <c r="AE28" s="55">
        <f t="shared" si="43"/>
        <v>0.26411201179071481</v>
      </c>
      <c r="AF28" s="72">
        <v>1126</v>
      </c>
      <c r="AG28" s="72">
        <v>2218</v>
      </c>
      <c r="AH28" s="72">
        <v>2238</v>
      </c>
      <c r="AI28" s="72">
        <v>1927</v>
      </c>
      <c r="AJ28" s="52">
        <f t="shared" si="13"/>
        <v>7509</v>
      </c>
      <c r="AK28" s="56">
        <f t="shared" si="45"/>
        <v>0.27667649226234342</v>
      </c>
      <c r="AL28" s="72">
        <v>235</v>
      </c>
      <c r="AM28" s="72">
        <v>896</v>
      </c>
      <c r="AN28" s="72">
        <v>1554</v>
      </c>
      <c r="AO28" s="72">
        <v>2034</v>
      </c>
      <c r="AP28" s="52">
        <f t="shared" si="16"/>
        <v>4719</v>
      </c>
      <c r="AQ28" s="57">
        <f t="shared" si="47"/>
        <v>0.17387619749447311</v>
      </c>
      <c r="AR28" s="58">
        <f t="shared" si="18"/>
        <v>0.4505526897568165</v>
      </c>
    </row>
    <row r="29" spans="1:44">
      <c r="A29" s="43">
        <v>29</v>
      </c>
      <c r="B29" s="44" t="s">
        <v>57</v>
      </c>
      <c r="C29" s="44" t="s">
        <v>63</v>
      </c>
      <c r="D29" s="62" t="s">
        <v>29</v>
      </c>
      <c r="E29" s="45">
        <v>171</v>
      </c>
      <c r="F29" s="46">
        <v>171</v>
      </c>
      <c r="G29" s="47">
        <f t="shared" si="19"/>
        <v>1</v>
      </c>
      <c r="H29" s="48">
        <v>20200</v>
      </c>
      <c r="I29" s="49">
        <f t="shared" si="36"/>
        <v>5487</v>
      </c>
      <c r="J29" s="49">
        <f t="shared" si="36"/>
        <v>5117</v>
      </c>
      <c r="K29" s="49">
        <f t="shared" si="36"/>
        <v>4606</v>
      </c>
      <c r="L29" s="49">
        <f t="shared" si="36"/>
        <v>3644</v>
      </c>
      <c r="M29" s="50">
        <f t="shared" si="37"/>
        <v>18854</v>
      </c>
      <c r="N29" s="72">
        <v>1007</v>
      </c>
      <c r="O29" s="72">
        <v>285</v>
      </c>
      <c r="P29" s="72">
        <v>85</v>
      </c>
      <c r="Q29" s="72">
        <v>4</v>
      </c>
      <c r="R29" s="52">
        <f t="shared" si="4"/>
        <v>1381</v>
      </c>
      <c r="S29" s="53">
        <f t="shared" si="39"/>
        <v>7.324705632756974E-2</v>
      </c>
      <c r="T29" s="72">
        <v>2156</v>
      </c>
      <c r="U29" s="72">
        <v>1010</v>
      </c>
      <c r="V29" s="72">
        <v>399</v>
      </c>
      <c r="W29" s="72">
        <v>68</v>
      </c>
      <c r="X29" s="54">
        <f t="shared" si="7"/>
        <v>3633</v>
      </c>
      <c r="Y29" s="55">
        <f t="shared" si="41"/>
        <v>0.19269120611010926</v>
      </c>
      <c r="Z29" s="72">
        <v>1749</v>
      </c>
      <c r="AA29" s="72">
        <v>1816</v>
      </c>
      <c r="AB29" s="72">
        <v>1262</v>
      </c>
      <c r="AC29" s="72">
        <v>517</v>
      </c>
      <c r="AD29" s="54">
        <f t="shared" si="10"/>
        <v>5344</v>
      </c>
      <c r="AE29" s="55">
        <f t="shared" si="43"/>
        <v>0.28344117959053783</v>
      </c>
      <c r="AF29" s="72">
        <v>497</v>
      </c>
      <c r="AG29" s="72">
        <v>1576</v>
      </c>
      <c r="AH29" s="72">
        <v>1715</v>
      </c>
      <c r="AI29" s="72">
        <v>1314</v>
      </c>
      <c r="AJ29" s="52">
        <f t="shared" si="13"/>
        <v>5102</v>
      </c>
      <c r="AK29" s="56">
        <f t="shared" si="45"/>
        <v>0.27060570701177467</v>
      </c>
      <c r="AL29" s="72">
        <v>78</v>
      </c>
      <c r="AM29" s="72">
        <v>430</v>
      </c>
      <c r="AN29" s="72">
        <v>1145</v>
      </c>
      <c r="AO29" s="72">
        <v>1741</v>
      </c>
      <c r="AP29" s="52">
        <f t="shared" si="16"/>
        <v>3394</v>
      </c>
      <c r="AQ29" s="57">
        <f t="shared" si="47"/>
        <v>0.18001485096000849</v>
      </c>
      <c r="AR29" s="58">
        <f t="shared" si="18"/>
        <v>0.45062055797178313</v>
      </c>
    </row>
    <row r="30" spans="1:44">
      <c r="A30" s="43">
        <v>30</v>
      </c>
      <c r="B30" s="44" t="s">
        <v>57</v>
      </c>
      <c r="C30" s="44" t="s">
        <v>64</v>
      </c>
      <c r="D30" s="62" t="s">
        <v>29</v>
      </c>
      <c r="E30" s="45">
        <v>161</v>
      </c>
      <c r="F30" s="46">
        <v>161</v>
      </c>
      <c r="G30" s="47">
        <f t="shared" si="19"/>
        <v>1</v>
      </c>
      <c r="H30" s="48">
        <v>19687</v>
      </c>
      <c r="I30" s="49">
        <f t="shared" si="36"/>
        <v>5367</v>
      </c>
      <c r="J30" s="49">
        <f t="shared" si="36"/>
        <v>4582</v>
      </c>
      <c r="K30" s="49">
        <f t="shared" si="36"/>
        <v>3478</v>
      </c>
      <c r="L30" s="49">
        <f t="shared" si="36"/>
        <v>2630</v>
      </c>
      <c r="M30" s="50">
        <f t="shared" si="37"/>
        <v>16057</v>
      </c>
      <c r="N30" s="72">
        <v>1410</v>
      </c>
      <c r="O30" s="72">
        <v>297</v>
      </c>
      <c r="P30" s="72">
        <v>28</v>
      </c>
      <c r="Q30" s="72">
        <v>2</v>
      </c>
      <c r="R30" s="52">
        <f t="shared" si="4"/>
        <v>1737</v>
      </c>
      <c r="S30" s="53">
        <f t="shared" si="39"/>
        <v>0.10817711901351436</v>
      </c>
      <c r="T30" s="72">
        <v>2031</v>
      </c>
      <c r="U30" s="72">
        <v>951</v>
      </c>
      <c r="V30" s="72">
        <v>314</v>
      </c>
      <c r="W30" s="72">
        <v>86</v>
      </c>
      <c r="X30" s="54">
        <f t="shared" si="7"/>
        <v>3382</v>
      </c>
      <c r="Y30" s="55">
        <f t="shared" si="41"/>
        <v>0.21062464968549544</v>
      </c>
      <c r="Z30" s="72">
        <v>1382</v>
      </c>
      <c r="AA30" s="72">
        <v>1767</v>
      </c>
      <c r="AB30" s="72">
        <v>1171</v>
      </c>
      <c r="AC30" s="72">
        <v>425</v>
      </c>
      <c r="AD30" s="54">
        <f t="shared" si="10"/>
        <v>4745</v>
      </c>
      <c r="AE30" s="55">
        <f t="shared" si="43"/>
        <v>0.295509746527994</v>
      </c>
      <c r="AF30" s="72">
        <v>500</v>
      </c>
      <c r="AG30" s="72">
        <v>1211</v>
      </c>
      <c r="AH30" s="72">
        <v>1322</v>
      </c>
      <c r="AI30" s="72">
        <v>1135</v>
      </c>
      <c r="AJ30" s="52">
        <f t="shared" si="13"/>
        <v>4168</v>
      </c>
      <c r="AK30" s="56">
        <f t="shared" si="45"/>
        <v>0.25957526312511675</v>
      </c>
      <c r="AL30" s="72">
        <v>44</v>
      </c>
      <c r="AM30" s="72">
        <v>356</v>
      </c>
      <c r="AN30" s="72">
        <v>643</v>
      </c>
      <c r="AO30" s="72">
        <v>982</v>
      </c>
      <c r="AP30" s="52">
        <f t="shared" si="16"/>
        <v>2025</v>
      </c>
      <c r="AQ30" s="57">
        <f t="shared" si="47"/>
        <v>0.12611322164787944</v>
      </c>
      <c r="AR30" s="58">
        <f t="shared" si="18"/>
        <v>0.38568848477299622</v>
      </c>
    </row>
    <row r="31" spans="1:44">
      <c r="A31" s="28" t="s">
        <v>65</v>
      </c>
      <c r="B31" s="5"/>
      <c r="C31" s="29"/>
      <c r="D31" s="30"/>
      <c r="E31" s="30">
        <f t="shared" ref="E31:F31" si="48">E32+E33+E34+E35+E36+E37+E38+E39</f>
        <v>1709</v>
      </c>
      <c r="F31" s="30">
        <f t="shared" si="48"/>
        <v>1704</v>
      </c>
      <c r="G31" s="59">
        <f t="shared" si="19"/>
        <v>0.99707431246342892</v>
      </c>
      <c r="H31" s="32"/>
      <c r="I31" s="33">
        <f t="shared" si="36"/>
        <v>51089</v>
      </c>
      <c r="J31" s="33">
        <f t="shared" si="36"/>
        <v>49368</v>
      </c>
      <c r="K31" s="33">
        <f t="shared" si="36"/>
        <v>44036</v>
      </c>
      <c r="L31" s="33">
        <f t="shared" si="36"/>
        <v>36910</v>
      </c>
      <c r="M31" s="34">
        <f t="shared" si="37"/>
        <v>181403</v>
      </c>
      <c r="N31" s="33">
        <f>+SUM(N32:N39)</f>
        <v>5437</v>
      </c>
      <c r="O31" s="33">
        <f t="shared" ref="O31:Q31" si="49">+SUM(O32:O39)</f>
        <v>861</v>
      </c>
      <c r="P31" s="33">
        <f t="shared" si="49"/>
        <v>102</v>
      </c>
      <c r="Q31" s="33">
        <f t="shared" si="49"/>
        <v>44</v>
      </c>
      <c r="R31" s="36">
        <f t="shared" si="4"/>
        <v>6444</v>
      </c>
      <c r="S31" s="37">
        <f t="shared" si="39"/>
        <v>3.5523117037755715E-2</v>
      </c>
      <c r="T31" s="60">
        <f>+SUM(T32:T39)</f>
        <v>14018</v>
      </c>
      <c r="U31" s="60">
        <f t="shared" ref="U31:W31" si="50">+SUM(U32:U39)</f>
        <v>3832</v>
      </c>
      <c r="V31" s="60">
        <f t="shared" si="50"/>
        <v>678</v>
      </c>
      <c r="W31" s="60">
        <f t="shared" si="50"/>
        <v>72</v>
      </c>
      <c r="X31" s="38">
        <f t="shared" si="7"/>
        <v>18600</v>
      </c>
      <c r="Y31" s="39">
        <f t="shared" si="41"/>
        <v>0.10253413670115709</v>
      </c>
      <c r="Z31" s="60">
        <f>+SUM(Z32:Z39)</f>
        <v>18241</v>
      </c>
      <c r="AA31" s="60">
        <f t="shared" ref="AA31:AC31" si="51">+SUM(AA32:AA39)</f>
        <v>10960</v>
      </c>
      <c r="AB31" s="60">
        <f t="shared" si="51"/>
        <v>4377</v>
      </c>
      <c r="AC31" s="60">
        <f t="shared" si="51"/>
        <v>1187</v>
      </c>
      <c r="AD31" s="38">
        <f t="shared" si="10"/>
        <v>34765</v>
      </c>
      <c r="AE31" s="39">
        <f t="shared" si="43"/>
        <v>0.1916451216352541</v>
      </c>
      <c r="AF31" s="60">
        <f>+SUM(AF32:AF39)</f>
        <v>10911</v>
      </c>
      <c r="AG31" s="60">
        <f t="shared" ref="AG31:AI31" si="52">+SUM(AG32:AG39)</f>
        <v>18781</v>
      </c>
      <c r="AH31" s="60">
        <f t="shared" si="52"/>
        <v>16429</v>
      </c>
      <c r="AI31" s="60">
        <f t="shared" si="52"/>
        <v>9839</v>
      </c>
      <c r="AJ31" s="36">
        <f t="shared" si="13"/>
        <v>55960</v>
      </c>
      <c r="AK31" s="40">
        <f t="shared" si="45"/>
        <v>0.30848442418262101</v>
      </c>
      <c r="AL31" s="61">
        <f>+SUM(AL32:AL39)</f>
        <v>2482</v>
      </c>
      <c r="AM31" s="61">
        <f t="shared" ref="AM31:AO31" si="53">+SUM(AM32:AM39)</f>
        <v>14934</v>
      </c>
      <c r="AN31" s="61">
        <f t="shared" si="53"/>
        <v>22450</v>
      </c>
      <c r="AO31" s="61">
        <f t="shared" si="53"/>
        <v>25768</v>
      </c>
      <c r="AP31" s="36">
        <f t="shared" si="16"/>
        <v>65634</v>
      </c>
      <c r="AQ31" s="41">
        <f t="shared" si="47"/>
        <v>0.36181320044321208</v>
      </c>
      <c r="AR31" s="42">
        <f t="shared" si="18"/>
        <v>0.67029762462583309</v>
      </c>
    </row>
    <row r="32" spans="1:44">
      <c r="A32" s="43">
        <v>31</v>
      </c>
      <c r="B32" s="44" t="s">
        <v>66</v>
      </c>
      <c r="C32" s="44" t="s">
        <v>67</v>
      </c>
      <c r="D32" s="62" t="s">
        <v>29</v>
      </c>
      <c r="E32" s="45">
        <v>233</v>
      </c>
      <c r="F32" s="46">
        <v>232</v>
      </c>
      <c r="G32" s="47">
        <f t="shared" si="19"/>
        <v>0.99570815450643779</v>
      </c>
      <c r="H32" s="48" t="s">
        <v>68</v>
      </c>
      <c r="I32" s="49">
        <f t="shared" si="36"/>
        <v>6284</v>
      </c>
      <c r="J32" s="49">
        <f t="shared" si="36"/>
        <v>6223</v>
      </c>
      <c r="K32" s="49">
        <f t="shared" si="36"/>
        <v>5549</v>
      </c>
      <c r="L32" s="49">
        <f t="shared" si="36"/>
        <v>5000</v>
      </c>
      <c r="M32" s="50">
        <f t="shared" si="37"/>
        <v>23056</v>
      </c>
      <c r="N32" s="49">
        <v>648</v>
      </c>
      <c r="O32" s="51">
        <v>104</v>
      </c>
      <c r="P32" s="51">
        <v>14</v>
      </c>
      <c r="Q32" s="51">
        <v>2</v>
      </c>
      <c r="R32" s="52">
        <f t="shared" si="4"/>
        <v>768</v>
      </c>
      <c r="S32" s="53">
        <f t="shared" si="39"/>
        <v>3.3310201249132546E-2</v>
      </c>
      <c r="T32" s="63">
        <v>1770</v>
      </c>
      <c r="U32" s="63">
        <v>510</v>
      </c>
      <c r="V32" s="63">
        <v>63</v>
      </c>
      <c r="W32" s="63">
        <v>5</v>
      </c>
      <c r="X32" s="54">
        <f t="shared" si="7"/>
        <v>2348</v>
      </c>
      <c r="Y32" s="55">
        <f t="shared" si="41"/>
        <v>0.10183900069396253</v>
      </c>
      <c r="Z32" s="63">
        <v>2436</v>
      </c>
      <c r="AA32" s="63">
        <v>1437</v>
      </c>
      <c r="AB32" s="63">
        <v>501</v>
      </c>
      <c r="AC32" s="63">
        <v>145</v>
      </c>
      <c r="AD32" s="54">
        <f t="shared" si="10"/>
        <v>4519</v>
      </c>
      <c r="AE32" s="55">
        <f t="shared" si="43"/>
        <v>0.19600104094378903</v>
      </c>
      <c r="AF32" s="63">
        <v>1274</v>
      </c>
      <c r="AG32" s="63">
        <v>2360</v>
      </c>
      <c r="AH32" s="63">
        <v>2044</v>
      </c>
      <c r="AI32" s="63">
        <v>1443</v>
      </c>
      <c r="AJ32" s="52">
        <f t="shared" si="13"/>
        <v>7121</v>
      </c>
      <c r="AK32" s="56">
        <f t="shared" si="45"/>
        <v>0.30885669673837612</v>
      </c>
      <c r="AL32" s="63">
        <v>156</v>
      </c>
      <c r="AM32" s="63">
        <v>1812</v>
      </c>
      <c r="AN32" s="63">
        <v>2927</v>
      </c>
      <c r="AO32" s="63">
        <v>3405</v>
      </c>
      <c r="AP32" s="52">
        <f t="shared" si="16"/>
        <v>8300</v>
      </c>
      <c r="AQ32" s="57">
        <f t="shared" si="47"/>
        <v>0.35999306037473977</v>
      </c>
      <c r="AR32" s="58">
        <f t="shared" si="18"/>
        <v>0.66884975711311589</v>
      </c>
    </row>
    <row r="33" spans="1:44">
      <c r="A33" s="43">
        <v>32</v>
      </c>
      <c r="B33" s="44" t="s">
        <v>66</v>
      </c>
      <c r="C33" s="44" t="s">
        <v>69</v>
      </c>
      <c r="D33" s="62" t="s">
        <v>29</v>
      </c>
      <c r="E33" s="45">
        <v>155</v>
      </c>
      <c r="F33" s="46">
        <v>154</v>
      </c>
      <c r="G33" s="47">
        <f t="shared" si="19"/>
        <v>0.99354838709677418</v>
      </c>
      <c r="H33" s="48" t="s">
        <v>70</v>
      </c>
      <c r="I33" s="49">
        <f t="shared" si="36"/>
        <v>7622</v>
      </c>
      <c r="J33" s="49">
        <f t="shared" si="36"/>
        <v>7679</v>
      </c>
      <c r="K33" s="49">
        <f t="shared" si="36"/>
        <v>6903</v>
      </c>
      <c r="L33" s="49">
        <f t="shared" si="36"/>
        <v>5988</v>
      </c>
      <c r="M33" s="50">
        <f t="shared" si="37"/>
        <v>28192</v>
      </c>
      <c r="N33" s="49">
        <v>917</v>
      </c>
      <c r="O33" s="51">
        <v>192</v>
      </c>
      <c r="P33" s="51">
        <v>27</v>
      </c>
      <c r="Q33" s="51">
        <v>11</v>
      </c>
      <c r="R33" s="52">
        <f t="shared" si="4"/>
        <v>1147</v>
      </c>
      <c r="S33" s="53">
        <f t="shared" si="39"/>
        <v>4.0685300794551647E-2</v>
      </c>
      <c r="T33" s="63">
        <v>2059</v>
      </c>
      <c r="U33" s="63">
        <v>492</v>
      </c>
      <c r="V33" s="63">
        <v>112</v>
      </c>
      <c r="W33" s="63">
        <v>25</v>
      </c>
      <c r="X33" s="54">
        <f t="shared" si="7"/>
        <v>2688</v>
      </c>
      <c r="Y33" s="55">
        <f t="shared" si="41"/>
        <v>9.5346197502837682E-2</v>
      </c>
      <c r="Z33" s="63">
        <v>2719</v>
      </c>
      <c r="AA33" s="63">
        <v>1709</v>
      </c>
      <c r="AB33" s="63">
        <v>611</v>
      </c>
      <c r="AC33" s="63">
        <v>182</v>
      </c>
      <c r="AD33" s="54">
        <f t="shared" si="10"/>
        <v>5221</v>
      </c>
      <c r="AE33" s="55">
        <f t="shared" si="43"/>
        <v>0.18519438138479002</v>
      </c>
      <c r="AF33" s="63">
        <v>1579</v>
      </c>
      <c r="AG33" s="63">
        <v>3082</v>
      </c>
      <c r="AH33" s="63">
        <v>2499</v>
      </c>
      <c r="AI33" s="63">
        <v>1627</v>
      </c>
      <c r="AJ33" s="52">
        <f t="shared" si="13"/>
        <v>8787</v>
      </c>
      <c r="AK33" s="56">
        <f t="shared" si="45"/>
        <v>0.31168416572077184</v>
      </c>
      <c r="AL33" s="63">
        <v>348</v>
      </c>
      <c r="AM33" s="63">
        <v>2204</v>
      </c>
      <c r="AN33" s="63">
        <v>3654</v>
      </c>
      <c r="AO33" s="63">
        <v>4143</v>
      </c>
      <c r="AP33" s="52">
        <f t="shared" si="16"/>
        <v>10349</v>
      </c>
      <c r="AQ33" s="57">
        <f t="shared" si="47"/>
        <v>0.3670899545970488</v>
      </c>
      <c r="AR33" s="58">
        <f t="shared" si="18"/>
        <v>0.67877412031782058</v>
      </c>
    </row>
    <row r="34" spans="1:44">
      <c r="A34" s="43">
        <v>33</v>
      </c>
      <c r="B34" s="44" t="s">
        <v>66</v>
      </c>
      <c r="C34" s="44" t="s">
        <v>71</v>
      </c>
      <c r="D34" s="62" t="s">
        <v>29</v>
      </c>
      <c r="E34" s="45">
        <v>94</v>
      </c>
      <c r="F34" s="46">
        <v>94</v>
      </c>
      <c r="G34" s="47">
        <f t="shared" si="19"/>
        <v>1</v>
      </c>
      <c r="H34" s="48" t="s">
        <v>72</v>
      </c>
      <c r="I34" s="49">
        <f t="shared" si="36"/>
        <v>9601</v>
      </c>
      <c r="J34" s="49">
        <f t="shared" si="36"/>
        <v>9360</v>
      </c>
      <c r="K34" s="49">
        <f t="shared" si="36"/>
        <v>8533</v>
      </c>
      <c r="L34" s="49">
        <f t="shared" si="36"/>
        <v>7740</v>
      </c>
      <c r="M34" s="50">
        <f t="shared" si="37"/>
        <v>35234</v>
      </c>
      <c r="N34" s="49">
        <v>745</v>
      </c>
      <c r="O34" s="51">
        <v>154</v>
      </c>
      <c r="P34" s="51">
        <v>10</v>
      </c>
      <c r="Q34" s="51">
        <v>7</v>
      </c>
      <c r="R34" s="52">
        <f t="shared" si="4"/>
        <v>916</v>
      </c>
      <c r="S34" s="53">
        <f t="shared" si="39"/>
        <v>2.5997615939149683E-2</v>
      </c>
      <c r="T34" s="63">
        <v>1950</v>
      </c>
      <c r="U34" s="63">
        <v>559</v>
      </c>
      <c r="V34" s="63">
        <v>137</v>
      </c>
      <c r="W34" s="63">
        <v>5</v>
      </c>
      <c r="X34" s="54">
        <f t="shared" si="7"/>
        <v>2651</v>
      </c>
      <c r="Y34" s="55">
        <f t="shared" si="41"/>
        <v>7.5239825168870983E-2</v>
      </c>
      <c r="Z34" s="63">
        <v>3050</v>
      </c>
      <c r="AA34" s="63">
        <v>1359</v>
      </c>
      <c r="AB34" s="63">
        <v>763</v>
      </c>
      <c r="AC34" s="63">
        <v>323</v>
      </c>
      <c r="AD34" s="54">
        <f t="shared" si="10"/>
        <v>5495</v>
      </c>
      <c r="AE34" s="55">
        <f t="shared" si="43"/>
        <v>0.15595731395810863</v>
      </c>
      <c r="AF34" s="63">
        <v>2808</v>
      </c>
      <c r="AG34" s="63">
        <v>3529</v>
      </c>
      <c r="AH34" s="63">
        <v>2966</v>
      </c>
      <c r="AI34" s="63">
        <v>2088</v>
      </c>
      <c r="AJ34" s="52">
        <f t="shared" si="13"/>
        <v>11391</v>
      </c>
      <c r="AK34" s="56">
        <f t="shared" si="45"/>
        <v>0.32329568030879263</v>
      </c>
      <c r="AL34" s="63">
        <v>1048</v>
      </c>
      <c r="AM34" s="63">
        <v>3759</v>
      </c>
      <c r="AN34" s="63">
        <v>4657</v>
      </c>
      <c r="AO34" s="63">
        <v>5317</v>
      </c>
      <c r="AP34" s="52">
        <f t="shared" si="16"/>
        <v>14781</v>
      </c>
      <c r="AQ34" s="57">
        <f t="shared" si="47"/>
        <v>0.41950956462507805</v>
      </c>
      <c r="AR34" s="58">
        <f t="shared" si="18"/>
        <v>0.74280524493387068</v>
      </c>
    </row>
    <row r="35" spans="1:44">
      <c r="A35" s="43">
        <v>34</v>
      </c>
      <c r="B35" s="44" t="s">
        <v>66</v>
      </c>
      <c r="C35" s="44" t="s">
        <v>73</v>
      </c>
      <c r="D35" s="62" t="s">
        <v>29</v>
      </c>
      <c r="E35" s="45">
        <v>153</v>
      </c>
      <c r="F35" s="46">
        <v>153</v>
      </c>
      <c r="G35" s="47">
        <f t="shared" si="19"/>
        <v>1</v>
      </c>
      <c r="H35" s="48" t="s">
        <v>74</v>
      </c>
      <c r="I35" s="49">
        <f t="shared" si="36"/>
        <v>3921</v>
      </c>
      <c r="J35" s="49">
        <f t="shared" si="36"/>
        <v>3768</v>
      </c>
      <c r="K35" s="49">
        <f t="shared" si="36"/>
        <v>3167</v>
      </c>
      <c r="L35" s="49">
        <f t="shared" si="36"/>
        <v>2400</v>
      </c>
      <c r="M35" s="50">
        <f t="shared" si="37"/>
        <v>13256</v>
      </c>
      <c r="N35" s="49">
        <v>366</v>
      </c>
      <c r="O35" s="51">
        <v>72</v>
      </c>
      <c r="P35" s="51">
        <v>2</v>
      </c>
      <c r="Q35" s="51">
        <v>0</v>
      </c>
      <c r="R35" s="52">
        <f t="shared" si="4"/>
        <v>440</v>
      </c>
      <c r="S35" s="53">
        <f t="shared" si="39"/>
        <v>3.3192516596258298E-2</v>
      </c>
      <c r="T35" s="63">
        <v>1134</v>
      </c>
      <c r="U35" s="63">
        <v>222</v>
      </c>
      <c r="V35" s="63">
        <v>31</v>
      </c>
      <c r="W35" s="63">
        <v>0</v>
      </c>
      <c r="X35" s="54">
        <f t="shared" si="7"/>
        <v>1387</v>
      </c>
      <c r="Y35" s="55">
        <f t="shared" si="41"/>
        <v>0.10463186481593241</v>
      </c>
      <c r="Z35" s="63">
        <v>1592</v>
      </c>
      <c r="AA35" s="63">
        <v>1061</v>
      </c>
      <c r="AB35" s="63">
        <v>281</v>
      </c>
      <c r="AC35" s="63">
        <v>34</v>
      </c>
      <c r="AD35" s="54">
        <f t="shared" si="10"/>
        <v>2968</v>
      </c>
      <c r="AE35" s="55">
        <f t="shared" si="43"/>
        <v>0.22389861194930596</v>
      </c>
      <c r="AF35" s="63">
        <v>731</v>
      </c>
      <c r="AG35" s="63">
        <v>1586</v>
      </c>
      <c r="AH35" s="63">
        <v>1343</v>
      </c>
      <c r="AI35" s="63">
        <v>614</v>
      </c>
      <c r="AJ35" s="52">
        <f t="shared" si="13"/>
        <v>4274</v>
      </c>
      <c r="AK35" s="56">
        <f t="shared" si="45"/>
        <v>0.32242003621001808</v>
      </c>
      <c r="AL35" s="63">
        <v>98</v>
      </c>
      <c r="AM35" s="63">
        <v>827</v>
      </c>
      <c r="AN35" s="63">
        <v>1510</v>
      </c>
      <c r="AO35" s="63">
        <v>1752</v>
      </c>
      <c r="AP35" s="52">
        <f t="shared" si="16"/>
        <v>4187</v>
      </c>
      <c r="AQ35" s="57">
        <f t="shared" si="47"/>
        <v>0.31585697042848521</v>
      </c>
      <c r="AR35" s="58">
        <f t="shared" si="18"/>
        <v>0.63827700663850329</v>
      </c>
    </row>
    <row r="36" spans="1:44">
      <c r="A36" s="43">
        <v>35</v>
      </c>
      <c r="B36" s="44" t="s">
        <v>66</v>
      </c>
      <c r="C36" s="44" t="s">
        <v>75</v>
      </c>
      <c r="D36" s="62" t="s">
        <v>29</v>
      </c>
      <c r="E36" s="45">
        <v>284</v>
      </c>
      <c r="F36" s="46">
        <v>281</v>
      </c>
      <c r="G36" s="47">
        <f t="shared" si="19"/>
        <v>0.98943661971830987</v>
      </c>
      <c r="H36" s="48" t="s">
        <v>76</v>
      </c>
      <c r="I36" s="49">
        <f t="shared" si="36"/>
        <v>6692</v>
      </c>
      <c r="J36" s="49">
        <f t="shared" si="36"/>
        <v>5691</v>
      </c>
      <c r="K36" s="49">
        <f t="shared" si="36"/>
        <v>4531</v>
      </c>
      <c r="L36" s="49">
        <f t="shared" si="36"/>
        <v>3378</v>
      </c>
      <c r="M36" s="50">
        <f t="shared" si="37"/>
        <v>20292</v>
      </c>
      <c r="N36" s="49">
        <v>735</v>
      </c>
      <c r="O36" s="51">
        <v>83</v>
      </c>
      <c r="P36" s="51">
        <v>7</v>
      </c>
      <c r="Q36" s="51">
        <v>7</v>
      </c>
      <c r="R36" s="52">
        <f t="shared" si="4"/>
        <v>832</v>
      </c>
      <c r="S36" s="53">
        <f t="shared" si="39"/>
        <v>4.1001379854129709E-2</v>
      </c>
      <c r="T36" s="63">
        <v>2081</v>
      </c>
      <c r="U36" s="63">
        <v>503</v>
      </c>
      <c r="V36" s="63">
        <v>72</v>
      </c>
      <c r="W36" s="63">
        <v>5</v>
      </c>
      <c r="X36" s="54">
        <f t="shared" si="7"/>
        <v>2661</v>
      </c>
      <c r="Y36" s="55">
        <f t="shared" si="41"/>
        <v>0.13113542282672974</v>
      </c>
      <c r="Z36" s="63">
        <v>2391</v>
      </c>
      <c r="AA36" s="63">
        <v>1215</v>
      </c>
      <c r="AB36" s="63">
        <v>379</v>
      </c>
      <c r="AC36" s="63">
        <v>101</v>
      </c>
      <c r="AD36" s="54">
        <f t="shared" si="10"/>
        <v>4086</v>
      </c>
      <c r="AE36" s="55">
        <f t="shared" si="43"/>
        <v>0.20136014192785334</v>
      </c>
      <c r="AF36" s="63">
        <v>1250</v>
      </c>
      <c r="AG36" s="63">
        <v>1963</v>
      </c>
      <c r="AH36" s="63">
        <v>1542</v>
      </c>
      <c r="AI36" s="63">
        <v>736</v>
      </c>
      <c r="AJ36" s="52">
        <f t="shared" si="13"/>
        <v>5491</v>
      </c>
      <c r="AK36" s="56">
        <f t="shared" si="45"/>
        <v>0.27059925093632958</v>
      </c>
      <c r="AL36" s="63">
        <v>235</v>
      </c>
      <c r="AM36" s="63">
        <v>1927</v>
      </c>
      <c r="AN36" s="63">
        <v>2531</v>
      </c>
      <c r="AO36" s="63">
        <v>2529</v>
      </c>
      <c r="AP36" s="52">
        <f t="shared" si="16"/>
        <v>7222</v>
      </c>
      <c r="AQ36" s="57">
        <f t="shared" si="47"/>
        <v>0.35590380445495762</v>
      </c>
      <c r="AR36" s="58">
        <f t="shared" si="18"/>
        <v>0.62650305539128714</v>
      </c>
    </row>
    <row r="37" spans="1:44">
      <c r="A37" s="43">
        <v>36</v>
      </c>
      <c r="B37" s="44" t="s">
        <v>66</v>
      </c>
      <c r="C37" s="44" t="s">
        <v>77</v>
      </c>
      <c r="D37" s="62" t="s">
        <v>29</v>
      </c>
      <c r="E37" s="45">
        <v>175</v>
      </c>
      <c r="F37" s="46">
        <v>175</v>
      </c>
      <c r="G37" s="47">
        <f t="shared" si="19"/>
        <v>1</v>
      </c>
      <c r="H37" s="48" t="s">
        <v>78</v>
      </c>
      <c r="I37" s="49">
        <f t="shared" si="36"/>
        <v>5436</v>
      </c>
      <c r="J37" s="49">
        <f t="shared" si="36"/>
        <v>5287</v>
      </c>
      <c r="K37" s="49">
        <f t="shared" si="36"/>
        <v>5026</v>
      </c>
      <c r="L37" s="49">
        <f t="shared" si="36"/>
        <v>4291</v>
      </c>
      <c r="M37" s="50">
        <f t="shared" si="37"/>
        <v>20040</v>
      </c>
      <c r="N37" s="49">
        <v>839</v>
      </c>
      <c r="O37" s="51">
        <v>135</v>
      </c>
      <c r="P37" s="51">
        <v>23</v>
      </c>
      <c r="Q37" s="51">
        <v>4</v>
      </c>
      <c r="R37" s="52">
        <f t="shared" si="4"/>
        <v>1001</v>
      </c>
      <c r="S37" s="53">
        <f t="shared" si="39"/>
        <v>4.9950099800399203E-2</v>
      </c>
      <c r="T37" s="63">
        <v>1747</v>
      </c>
      <c r="U37" s="63">
        <v>607</v>
      </c>
      <c r="V37" s="63">
        <v>83</v>
      </c>
      <c r="W37" s="63">
        <v>10</v>
      </c>
      <c r="X37" s="54">
        <f t="shared" si="7"/>
        <v>2447</v>
      </c>
      <c r="Y37" s="55">
        <f t="shared" si="41"/>
        <v>0.1221057884231537</v>
      </c>
      <c r="Z37" s="63">
        <v>1812</v>
      </c>
      <c r="AA37" s="63">
        <v>1409</v>
      </c>
      <c r="AB37" s="63">
        <v>595</v>
      </c>
      <c r="AC37" s="63">
        <v>173</v>
      </c>
      <c r="AD37" s="54">
        <f t="shared" si="10"/>
        <v>3989</v>
      </c>
      <c r="AE37" s="55">
        <f t="shared" si="43"/>
        <v>0.19905189620758484</v>
      </c>
      <c r="AF37" s="63">
        <v>821</v>
      </c>
      <c r="AG37" s="63">
        <v>1872</v>
      </c>
      <c r="AH37" s="63">
        <v>2065</v>
      </c>
      <c r="AI37" s="63">
        <v>1189</v>
      </c>
      <c r="AJ37" s="52">
        <f t="shared" si="13"/>
        <v>5947</v>
      </c>
      <c r="AK37" s="56">
        <f t="shared" si="45"/>
        <v>0.29675648702594809</v>
      </c>
      <c r="AL37" s="63">
        <v>217</v>
      </c>
      <c r="AM37" s="63">
        <v>1264</v>
      </c>
      <c r="AN37" s="63">
        <v>2260</v>
      </c>
      <c r="AO37" s="63">
        <v>2915</v>
      </c>
      <c r="AP37" s="52">
        <f t="shared" si="16"/>
        <v>6656</v>
      </c>
      <c r="AQ37" s="57">
        <f t="shared" si="47"/>
        <v>0.33213572854291418</v>
      </c>
      <c r="AR37" s="58">
        <f t="shared" si="18"/>
        <v>0.62889221556886232</v>
      </c>
    </row>
    <row r="38" spans="1:44">
      <c r="A38" s="43">
        <v>37</v>
      </c>
      <c r="B38" s="44" t="s">
        <v>66</v>
      </c>
      <c r="C38" s="44" t="s">
        <v>79</v>
      </c>
      <c r="D38" s="62" t="s">
        <v>29</v>
      </c>
      <c r="E38" s="45">
        <v>341</v>
      </c>
      <c r="F38" s="46">
        <v>341</v>
      </c>
      <c r="G38" s="47">
        <f t="shared" si="19"/>
        <v>1</v>
      </c>
      <c r="H38" s="48" t="s">
        <v>80</v>
      </c>
      <c r="I38" s="49">
        <f t="shared" si="36"/>
        <v>6715</v>
      </c>
      <c r="J38" s="49">
        <f t="shared" si="36"/>
        <v>6206</v>
      </c>
      <c r="K38" s="49">
        <f t="shared" si="36"/>
        <v>5448</v>
      </c>
      <c r="L38" s="49">
        <f t="shared" si="36"/>
        <v>3855</v>
      </c>
      <c r="M38" s="50">
        <f t="shared" si="37"/>
        <v>22224</v>
      </c>
      <c r="N38" s="49">
        <v>731</v>
      </c>
      <c r="O38" s="51">
        <v>58</v>
      </c>
      <c r="P38" s="51">
        <v>5</v>
      </c>
      <c r="Q38" s="51">
        <v>0</v>
      </c>
      <c r="R38" s="52">
        <f t="shared" si="4"/>
        <v>794</v>
      </c>
      <c r="S38" s="53">
        <f t="shared" si="39"/>
        <v>3.5727141828653705E-2</v>
      </c>
      <c r="T38" s="63">
        <v>2138</v>
      </c>
      <c r="U38" s="63">
        <v>472</v>
      </c>
      <c r="V38" s="63">
        <v>107</v>
      </c>
      <c r="W38" s="63">
        <v>7</v>
      </c>
      <c r="X38" s="54">
        <f t="shared" si="7"/>
        <v>2724</v>
      </c>
      <c r="Y38" s="55">
        <f t="shared" si="41"/>
        <v>0.12257019438444924</v>
      </c>
      <c r="Z38" s="63">
        <v>2470</v>
      </c>
      <c r="AA38" s="63">
        <v>1599</v>
      </c>
      <c r="AB38" s="63">
        <v>697</v>
      </c>
      <c r="AC38" s="63">
        <v>73</v>
      </c>
      <c r="AD38" s="54">
        <f t="shared" si="10"/>
        <v>4839</v>
      </c>
      <c r="AE38" s="55">
        <f t="shared" si="43"/>
        <v>0.21773758099352053</v>
      </c>
      <c r="AF38" s="63">
        <v>1163</v>
      </c>
      <c r="AG38" s="63">
        <v>2391</v>
      </c>
      <c r="AH38" s="63">
        <v>2019</v>
      </c>
      <c r="AI38" s="63">
        <v>953</v>
      </c>
      <c r="AJ38" s="52">
        <f t="shared" si="13"/>
        <v>6526</v>
      </c>
      <c r="AK38" s="56">
        <f t="shared" si="45"/>
        <v>0.29364650827933764</v>
      </c>
      <c r="AL38" s="63">
        <v>213</v>
      </c>
      <c r="AM38" s="63">
        <v>1686</v>
      </c>
      <c r="AN38" s="63">
        <v>2620</v>
      </c>
      <c r="AO38" s="63">
        <v>2822</v>
      </c>
      <c r="AP38" s="52">
        <f t="shared" si="16"/>
        <v>7341</v>
      </c>
      <c r="AQ38" s="57">
        <f t="shared" si="47"/>
        <v>0.3303185745140389</v>
      </c>
      <c r="AR38" s="58">
        <f t="shared" si="18"/>
        <v>0.62396508279337648</v>
      </c>
    </row>
    <row r="39" spans="1:44">
      <c r="A39" s="43">
        <v>38</v>
      </c>
      <c r="B39" s="44" t="s">
        <v>66</v>
      </c>
      <c r="C39" s="44" t="s">
        <v>81</v>
      </c>
      <c r="D39" s="62" t="s">
        <v>29</v>
      </c>
      <c r="E39" s="45">
        <v>274</v>
      </c>
      <c r="F39" s="46">
        <v>274</v>
      </c>
      <c r="G39" s="47">
        <f t="shared" si="19"/>
        <v>1</v>
      </c>
      <c r="H39" s="48" t="s">
        <v>82</v>
      </c>
      <c r="I39" s="49">
        <f t="shared" ref="I39:L48" si="54">N39+T39+Z39+AF39+AL39</f>
        <v>4818</v>
      </c>
      <c r="J39" s="49">
        <f t="shared" si="54"/>
        <v>5154</v>
      </c>
      <c r="K39" s="49">
        <f t="shared" si="54"/>
        <v>4879</v>
      </c>
      <c r="L39" s="49">
        <f t="shared" si="54"/>
        <v>4258</v>
      </c>
      <c r="M39" s="50">
        <f t="shared" si="37"/>
        <v>19109</v>
      </c>
      <c r="N39" s="49">
        <v>456</v>
      </c>
      <c r="O39" s="51">
        <v>63</v>
      </c>
      <c r="P39" s="51">
        <v>14</v>
      </c>
      <c r="Q39" s="51">
        <v>13</v>
      </c>
      <c r="R39" s="52">
        <f t="shared" si="4"/>
        <v>546</v>
      </c>
      <c r="S39" s="53">
        <f t="shared" si="39"/>
        <v>2.8572923753205297E-2</v>
      </c>
      <c r="T39" s="63">
        <v>1139</v>
      </c>
      <c r="U39" s="63">
        <v>467</v>
      </c>
      <c r="V39" s="63">
        <v>73</v>
      </c>
      <c r="W39" s="63">
        <v>15</v>
      </c>
      <c r="X39" s="54">
        <f t="shared" si="7"/>
        <v>1694</v>
      </c>
      <c r="Y39" s="55">
        <f t="shared" si="41"/>
        <v>8.864932754199592E-2</v>
      </c>
      <c r="Z39" s="63">
        <v>1771</v>
      </c>
      <c r="AA39" s="63">
        <v>1171</v>
      </c>
      <c r="AB39" s="63">
        <v>550</v>
      </c>
      <c r="AC39" s="63">
        <v>156</v>
      </c>
      <c r="AD39" s="54">
        <f t="shared" si="10"/>
        <v>3648</v>
      </c>
      <c r="AE39" s="55">
        <f t="shared" si="43"/>
        <v>0.19090480925218484</v>
      </c>
      <c r="AF39" s="63">
        <v>1285</v>
      </c>
      <c r="AG39" s="63">
        <v>1998</v>
      </c>
      <c r="AH39" s="63">
        <v>1951</v>
      </c>
      <c r="AI39" s="63">
        <v>1189</v>
      </c>
      <c r="AJ39" s="52">
        <f t="shared" si="13"/>
        <v>6423</v>
      </c>
      <c r="AK39" s="56">
        <f t="shared" si="45"/>
        <v>0.33612433931655239</v>
      </c>
      <c r="AL39" s="63">
        <v>167</v>
      </c>
      <c r="AM39" s="63">
        <v>1455</v>
      </c>
      <c r="AN39" s="63">
        <v>2291</v>
      </c>
      <c r="AO39" s="63">
        <v>2885</v>
      </c>
      <c r="AP39" s="52">
        <f t="shared" si="16"/>
        <v>6798</v>
      </c>
      <c r="AQ39" s="57">
        <f t="shared" si="47"/>
        <v>0.35574860013606152</v>
      </c>
      <c r="AR39" s="58">
        <f t="shared" si="18"/>
        <v>0.69187293945261397</v>
      </c>
    </row>
    <row r="40" spans="1:44">
      <c r="A40" s="28" t="s">
        <v>83</v>
      </c>
      <c r="B40" s="5"/>
      <c r="C40" s="29"/>
      <c r="D40" s="30"/>
      <c r="E40" s="30">
        <f t="shared" ref="E40:F40" si="55">E41+E42+E43</f>
        <v>661</v>
      </c>
      <c r="F40" s="30">
        <f t="shared" si="55"/>
        <v>640</v>
      </c>
      <c r="G40" s="59">
        <f t="shared" si="19"/>
        <v>0.9682299546142209</v>
      </c>
      <c r="H40" s="32"/>
      <c r="I40" s="33">
        <f t="shared" si="54"/>
        <v>15283</v>
      </c>
      <c r="J40" s="33">
        <f t="shared" si="54"/>
        <v>10041</v>
      </c>
      <c r="K40" s="33">
        <f t="shared" si="54"/>
        <v>5301</v>
      </c>
      <c r="L40" s="33">
        <f t="shared" si="54"/>
        <v>3243</v>
      </c>
      <c r="M40" s="34">
        <f t="shared" si="37"/>
        <v>33868</v>
      </c>
      <c r="N40" s="33">
        <f>+SUM(N41:N43)</f>
        <v>3701</v>
      </c>
      <c r="O40" s="33">
        <f t="shared" ref="O40:Q40" si="56">+SUM(O41:O43)</f>
        <v>647</v>
      </c>
      <c r="P40" s="33">
        <f t="shared" si="56"/>
        <v>177</v>
      </c>
      <c r="Q40" s="33">
        <f t="shared" si="56"/>
        <v>57</v>
      </c>
      <c r="R40" s="36">
        <f t="shared" si="4"/>
        <v>4582</v>
      </c>
      <c r="S40" s="37">
        <f t="shared" si="39"/>
        <v>0.13528994921459786</v>
      </c>
      <c r="T40" s="60">
        <f>+SUM(T41:T43)</f>
        <v>4365</v>
      </c>
      <c r="U40" s="60">
        <f t="shared" ref="U40:W40" si="57">+SUM(U41:U43)</f>
        <v>1507</v>
      </c>
      <c r="V40" s="60">
        <f t="shared" si="57"/>
        <v>285</v>
      </c>
      <c r="W40" s="60">
        <f t="shared" si="57"/>
        <v>40</v>
      </c>
      <c r="X40" s="38">
        <f t="shared" si="7"/>
        <v>6197</v>
      </c>
      <c r="Y40" s="39">
        <f t="shared" si="41"/>
        <v>0.18297507972127081</v>
      </c>
      <c r="Z40" s="60">
        <f>+SUM(Z41:Z43)</f>
        <v>4178</v>
      </c>
      <c r="AA40" s="60">
        <f t="shared" ref="AA40:AC40" si="58">+SUM(AA41:AA43)</f>
        <v>2557</v>
      </c>
      <c r="AB40" s="60">
        <f t="shared" si="58"/>
        <v>1030</v>
      </c>
      <c r="AC40" s="60">
        <f t="shared" si="58"/>
        <v>447</v>
      </c>
      <c r="AD40" s="38">
        <f t="shared" si="10"/>
        <v>8212</v>
      </c>
      <c r="AE40" s="39">
        <f t="shared" si="43"/>
        <v>0.24247076886736743</v>
      </c>
      <c r="AF40" s="60">
        <f>+SUM(AF41:AF43)</f>
        <v>2331</v>
      </c>
      <c r="AG40" s="60">
        <f t="shared" ref="AG40:AI40" si="59">+SUM(AG41:AG43)</f>
        <v>3268</v>
      </c>
      <c r="AH40" s="60">
        <f t="shared" si="59"/>
        <v>1898</v>
      </c>
      <c r="AI40" s="60">
        <f t="shared" si="59"/>
        <v>1074</v>
      </c>
      <c r="AJ40" s="36">
        <f t="shared" si="13"/>
        <v>8571</v>
      </c>
      <c r="AK40" s="40">
        <f t="shared" si="45"/>
        <v>0.25307074524625017</v>
      </c>
      <c r="AL40" s="61">
        <f>+SUM(AL41:AL43)</f>
        <v>708</v>
      </c>
      <c r="AM40" s="61">
        <f t="shared" ref="AM40:AO40" si="60">+SUM(AM41:AM43)</f>
        <v>2062</v>
      </c>
      <c r="AN40" s="61">
        <f t="shared" si="60"/>
        <v>1911</v>
      </c>
      <c r="AO40" s="61">
        <f t="shared" si="60"/>
        <v>1625</v>
      </c>
      <c r="AP40" s="36">
        <f t="shared" si="16"/>
        <v>6306</v>
      </c>
      <c r="AQ40" s="41">
        <f t="shared" si="47"/>
        <v>0.18619345695051376</v>
      </c>
      <c r="AR40" s="42">
        <f t="shared" si="18"/>
        <v>0.43926420219676393</v>
      </c>
    </row>
    <row r="41" spans="1:44">
      <c r="A41" s="43">
        <v>39</v>
      </c>
      <c r="B41" s="44" t="s">
        <v>84</v>
      </c>
      <c r="C41" s="44" t="s">
        <v>85</v>
      </c>
      <c r="D41" s="73">
        <v>44501</v>
      </c>
      <c r="E41" s="45">
        <v>440</v>
      </c>
      <c r="F41" s="46">
        <v>428</v>
      </c>
      <c r="G41" s="47">
        <f t="shared" si="19"/>
        <v>0.97272727272727277</v>
      </c>
      <c r="H41" s="48" t="s">
        <v>86</v>
      </c>
      <c r="I41" s="49">
        <f t="shared" si="54"/>
        <v>10013</v>
      </c>
      <c r="J41" s="49">
        <f t="shared" si="54"/>
        <v>6731</v>
      </c>
      <c r="K41" s="49">
        <f t="shared" si="54"/>
        <v>3582</v>
      </c>
      <c r="L41" s="49">
        <f t="shared" si="54"/>
        <v>2285</v>
      </c>
      <c r="M41" s="50">
        <f t="shared" si="37"/>
        <v>22611</v>
      </c>
      <c r="N41" s="49">
        <v>2210</v>
      </c>
      <c r="O41" s="51">
        <v>440</v>
      </c>
      <c r="P41" s="51">
        <v>139</v>
      </c>
      <c r="Q41" s="51">
        <v>53</v>
      </c>
      <c r="R41" s="52">
        <f t="shared" si="4"/>
        <v>2842</v>
      </c>
      <c r="S41" s="53">
        <f t="shared" si="39"/>
        <v>0.12569103533678297</v>
      </c>
      <c r="T41" s="51">
        <v>2883</v>
      </c>
      <c r="U41" s="51">
        <v>973</v>
      </c>
      <c r="V41" s="63">
        <v>153</v>
      </c>
      <c r="W41" s="63">
        <v>8</v>
      </c>
      <c r="X41" s="54">
        <f t="shared" si="7"/>
        <v>4017</v>
      </c>
      <c r="Y41" s="55">
        <f t="shared" si="41"/>
        <v>0.17765689266286322</v>
      </c>
      <c r="Z41" s="51">
        <v>2780</v>
      </c>
      <c r="AA41" s="51">
        <v>1737</v>
      </c>
      <c r="AB41" s="63">
        <v>664</v>
      </c>
      <c r="AC41" s="63">
        <v>321</v>
      </c>
      <c r="AD41" s="54">
        <f t="shared" si="10"/>
        <v>5502</v>
      </c>
      <c r="AE41" s="55">
        <f t="shared" si="43"/>
        <v>0.24333289107071779</v>
      </c>
      <c r="AF41" s="63">
        <v>1537</v>
      </c>
      <c r="AG41" s="51">
        <v>2048</v>
      </c>
      <c r="AH41" s="51">
        <v>1282</v>
      </c>
      <c r="AI41" s="63">
        <v>747</v>
      </c>
      <c r="AJ41" s="52">
        <f t="shared" si="13"/>
        <v>5614</v>
      </c>
      <c r="AK41" s="56">
        <f t="shared" si="45"/>
        <v>0.2482862323647782</v>
      </c>
      <c r="AL41" s="64">
        <v>603</v>
      </c>
      <c r="AM41" s="64">
        <v>1533</v>
      </c>
      <c r="AN41" s="64">
        <v>1344</v>
      </c>
      <c r="AO41" s="64">
        <v>1156</v>
      </c>
      <c r="AP41" s="52">
        <f t="shared" si="16"/>
        <v>4636</v>
      </c>
      <c r="AQ41" s="57">
        <f t="shared" si="47"/>
        <v>0.20503294856485782</v>
      </c>
      <c r="AR41" s="58">
        <f t="shared" si="18"/>
        <v>0.45331918092963602</v>
      </c>
    </row>
    <row r="42" spans="1:44">
      <c r="A42" s="43">
        <v>40</v>
      </c>
      <c r="B42" s="44" t="s">
        <v>84</v>
      </c>
      <c r="C42" s="44" t="s">
        <v>87</v>
      </c>
      <c r="D42" s="73">
        <v>44501</v>
      </c>
      <c r="E42" s="45">
        <v>86</v>
      </c>
      <c r="F42" s="46">
        <v>79</v>
      </c>
      <c r="G42" s="47">
        <f t="shared" si="19"/>
        <v>0.91860465116279066</v>
      </c>
      <c r="H42" s="48" t="s">
        <v>88</v>
      </c>
      <c r="I42" s="49">
        <f t="shared" si="54"/>
        <v>2747</v>
      </c>
      <c r="J42" s="49">
        <f t="shared" si="54"/>
        <v>1607</v>
      </c>
      <c r="K42" s="49">
        <f t="shared" si="54"/>
        <v>663</v>
      </c>
      <c r="L42" s="49">
        <f t="shared" si="54"/>
        <v>292</v>
      </c>
      <c r="M42" s="50">
        <f t="shared" si="37"/>
        <v>5309</v>
      </c>
      <c r="N42" s="49">
        <v>802</v>
      </c>
      <c r="O42" s="51">
        <v>116</v>
      </c>
      <c r="P42" s="51">
        <v>15</v>
      </c>
      <c r="Q42" s="51">
        <v>1</v>
      </c>
      <c r="R42" s="52">
        <f t="shared" si="4"/>
        <v>934</v>
      </c>
      <c r="S42" s="53">
        <f t="shared" si="39"/>
        <v>0.17592766999434922</v>
      </c>
      <c r="T42" s="51">
        <v>587</v>
      </c>
      <c r="U42" s="51">
        <v>195</v>
      </c>
      <c r="V42" s="63">
        <v>56</v>
      </c>
      <c r="W42" s="63">
        <v>8</v>
      </c>
      <c r="X42" s="54">
        <f t="shared" si="7"/>
        <v>846</v>
      </c>
      <c r="Y42" s="55">
        <f t="shared" si="41"/>
        <v>0.15935204369937842</v>
      </c>
      <c r="Z42" s="51">
        <v>765</v>
      </c>
      <c r="AA42" s="51">
        <v>263</v>
      </c>
      <c r="AB42" s="63">
        <v>99</v>
      </c>
      <c r="AC42" s="63">
        <v>59</v>
      </c>
      <c r="AD42" s="54">
        <f t="shared" si="10"/>
        <v>1186</v>
      </c>
      <c r="AE42" s="55">
        <f t="shared" si="43"/>
        <v>0.22339423620267471</v>
      </c>
      <c r="AF42" s="63">
        <v>541</v>
      </c>
      <c r="AG42" s="51">
        <v>704</v>
      </c>
      <c r="AH42" s="51">
        <v>178</v>
      </c>
      <c r="AI42" s="63">
        <v>72</v>
      </c>
      <c r="AJ42" s="52">
        <f t="shared" si="13"/>
        <v>1495</v>
      </c>
      <c r="AK42" s="56">
        <f t="shared" si="45"/>
        <v>0.28159728762478808</v>
      </c>
      <c r="AL42" s="64">
        <v>52</v>
      </c>
      <c r="AM42" s="64">
        <v>329</v>
      </c>
      <c r="AN42" s="64">
        <v>315</v>
      </c>
      <c r="AO42" s="64">
        <v>152</v>
      </c>
      <c r="AP42" s="52">
        <f t="shared" si="16"/>
        <v>848</v>
      </c>
      <c r="AQ42" s="57">
        <f t="shared" si="47"/>
        <v>0.15972876247880957</v>
      </c>
      <c r="AR42" s="58">
        <f t="shared" si="18"/>
        <v>0.44132605010359766</v>
      </c>
    </row>
    <row r="43" spans="1:44">
      <c r="A43" s="43">
        <v>41</v>
      </c>
      <c r="B43" s="44" t="s">
        <v>84</v>
      </c>
      <c r="C43" s="44" t="s">
        <v>89</v>
      </c>
      <c r="D43" s="73">
        <v>44501</v>
      </c>
      <c r="E43" s="45">
        <v>135</v>
      </c>
      <c r="F43" s="46">
        <v>133</v>
      </c>
      <c r="G43" s="47">
        <f t="shared" si="19"/>
        <v>0.98518518518518516</v>
      </c>
      <c r="H43" s="48" t="s">
        <v>90</v>
      </c>
      <c r="I43" s="49">
        <f t="shared" si="54"/>
        <v>2523</v>
      </c>
      <c r="J43" s="49">
        <f t="shared" si="54"/>
        <v>1703</v>
      </c>
      <c r="K43" s="49">
        <f t="shared" si="54"/>
        <v>1056</v>
      </c>
      <c r="L43" s="49">
        <f t="shared" si="54"/>
        <v>666</v>
      </c>
      <c r="M43" s="50">
        <f t="shared" si="37"/>
        <v>5948</v>
      </c>
      <c r="N43" s="49">
        <v>689</v>
      </c>
      <c r="O43" s="51">
        <v>91</v>
      </c>
      <c r="P43" s="51">
        <v>23</v>
      </c>
      <c r="Q43" s="51">
        <v>3</v>
      </c>
      <c r="R43" s="52">
        <f t="shared" si="4"/>
        <v>806</v>
      </c>
      <c r="S43" s="53">
        <f t="shared" si="39"/>
        <v>0.13550773369199731</v>
      </c>
      <c r="T43" s="51">
        <v>895</v>
      </c>
      <c r="U43" s="51">
        <v>339</v>
      </c>
      <c r="V43" s="63">
        <v>76</v>
      </c>
      <c r="W43" s="63">
        <v>24</v>
      </c>
      <c r="X43" s="54">
        <f t="shared" si="7"/>
        <v>1334</v>
      </c>
      <c r="Y43" s="55">
        <f t="shared" si="41"/>
        <v>0.22427706792199059</v>
      </c>
      <c r="Z43" s="51">
        <v>633</v>
      </c>
      <c r="AA43" s="51">
        <v>557</v>
      </c>
      <c r="AB43" s="63">
        <v>267</v>
      </c>
      <c r="AC43" s="63">
        <v>67</v>
      </c>
      <c r="AD43" s="54">
        <f t="shared" si="10"/>
        <v>1524</v>
      </c>
      <c r="AE43" s="55">
        <f t="shared" si="43"/>
        <v>0.25622057834566242</v>
      </c>
      <c r="AF43" s="63">
        <v>253</v>
      </c>
      <c r="AG43" s="51">
        <v>516</v>
      </c>
      <c r="AH43" s="51">
        <v>438</v>
      </c>
      <c r="AI43" s="63">
        <v>255</v>
      </c>
      <c r="AJ43" s="52">
        <f t="shared" si="13"/>
        <v>1462</v>
      </c>
      <c r="AK43" s="56">
        <f t="shared" si="45"/>
        <v>0.24579690652320108</v>
      </c>
      <c r="AL43" s="64">
        <v>53</v>
      </c>
      <c r="AM43" s="64">
        <v>200</v>
      </c>
      <c r="AN43" s="64">
        <v>252</v>
      </c>
      <c r="AO43" s="64">
        <v>317</v>
      </c>
      <c r="AP43" s="52">
        <f t="shared" si="16"/>
        <v>822</v>
      </c>
      <c r="AQ43" s="57">
        <f t="shared" si="47"/>
        <v>0.13819771351714863</v>
      </c>
      <c r="AR43" s="58">
        <f t="shared" si="18"/>
        <v>0.38399462004034968</v>
      </c>
    </row>
    <row r="44" spans="1:44">
      <c r="A44" s="28" t="s">
        <v>91</v>
      </c>
      <c r="B44" s="5"/>
      <c r="C44" s="29"/>
      <c r="D44" s="30"/>
      <c r="E44" s="30">
        <f t="shared" ref="E44:F44" si="61">E45+E46+E47</f>
        <v>670</v>
      </c>
      <c r="F44" s="30">
        <f t="shared" si="61"/>
        <v>670</v>
      </c>
      <c r="G44" s="59">
        <f t="shared" si="19"/>
        <v>1</v>
      </c>
      <c r="H44" s="32"/>
      <c r="I44" s="33">
        <f t="shared" si="54"/>
        <v>22332</v>
      </c>
      <c r="J44" s="33">
        <f t="shared" si="54"/>
        <v>19430</v>
      </c>
      <c r="K44" s="33">
        <f t="shared" si="54"/>
        <v>15488</v>
      </c>
      <c r="L44" s="33">
        <f t="shared" si="54"/>
        <v>11783</v>
      </c>
      <c r="M44" s="34">
        <f t="shared" si="37"/>
        <v>69033</v>
      </c>
      <c r="N44" s="33">
        <f>+SUM(N45:N47)</f>
        <v>6324</v>
      </c>
      <c r="O44" s="33">
        <f t="shared" ref="O44:Q44" si="62">+SUM(O45:O47)</f>
        <v>1836</v>
      </c>
      <c r="P44" s="33">
        <f t="shared" si="62"/>
        <v>502</v>
      </c>
      <c r="Q44" s="33">
        <f t="shared" si="62"/>
        <v>177</v>
      </c>
      <c r="R44" s="36">
        <f t="shared" si="4"/>
        <v>8839</v>
      </c>
      <c r="S44" s="37">
        <f t="shared" si="39"/>
        <v>0.12804021265192009</v>
      </c>
      <c r="T44" s="60">
        <f>+SUM(T45:T47)</f>
        <v>8978</v>
      </c>
      <c r="U44" s="60">
        <f t="shared" ref="U44:W44" si="63">+SUM(U45:U47)</f>
        <v>4886</v>
      </c>
      <c r="V44" s="60">
        <f t="shared" si="63"/>
        <v>1685</v>
      </c>
      <c r="W44" s="60">
        <f t="shared" si="63"/>
        <v>661</v>
      </c>
      <c r="X44" s="38">
        <f t="shared" si="7"/>
        <v>16210</v>
      </c>
      <c r="Y44" s="39">
        <f t="shared" si="41"/>
        <v>0.2348152332942216</v>
      </c>
      <c r="Z44" s="60">
        <f>+SUM(Z45:Z47)</f>
        <v>5221</v>
      </c>
      <c r="AA44" s="60">
        <f t="shared" ref="AA44:AC44" si="64">+SUM(AA45:AA47)</f>
        <v>5847</v>
      </c>
      <c r="AB44" s="60">
        <f t="shared" si="64"/>
        <v>3741</v>
      </c>
      <c r="AC44" s="60">
        <f t="shared" si="64"/>
        <v>1698</v>
      </c>
      <c r="AD44" s="38">
        <f t="shared" si="10"/>
        <v>16507</v>
      </c>
      <c r="AE44" s="39">
        <f t="shared" si="43"/>
        <v>0.23911752350325208</v>
      </c>
      <c r="AF44" s="60">
        <f>+SUM(AF45:AF47)</f>
        <v>1468</v>
      </c>
      <c r="AG44" s="60">
        <f t="shared" ref="AG44:AI44" si="65">+SUM(AG45:AG47)</f>
        <v>4768</v>
      </c>
      <c r="AH44" s="60">
        <f t="shared" si="65"/>
        <v>5454</v>
      </c>
      <c r="AI44" s="60">
        <f t="shared" si="65"/>
        <v>3829</v>
      </c>
      <c r="AJ44" s="36">
        <f t="shared" si="13"/>
        <v>15519</v>
      </c>
      <c r="AK44" s="40">
        <f t="shared" si="45"/>
        <v>0.22480552779105645</v>
      </c>
      <c r="AL44" s="61">
        <f>+SUM(AL45:AL47)</f>
        <v>341</v>
      </c>
      <c r="AM44" s="61">
        <f t="shared" ref="AM44:AO44" si="66">+SUM(AM45:AM47)</f>
        <v>2093</v>
      </c>
      <c r="AN44" s="61">
        <f t="shared" si="66"/>
        <v>4106</v>
      </c>
      <c r="AO44" s="61">
        <f t="shared" si="66"/>
        <v>5418</v>
      </c>
      <c r="AP44" s="36">
        <f t="shared" si="16"/>
        <v>11958</v>
      </c>
      <c r="AQ44" s="41">
        <f t="shared" si="47"/>
        <v>0.17322150275954978</v>
      </c>
      <c r="AR44" s="42">
        <f t="shared" si="18"/>
        <v>0.39802703055060623</v>
      </c>
    </row>
    <row r="45" spans="1:44">
      <c r="A45" s="43">
        <v>42</v>
      </c>
      <c r="B45" s="44" t="s">
        <v>92</v>
      </c>
      <c r="C45" s="44" t="s">
        <v>93</v>
      </c>
      <c r="D45" s="73">
        <v>44501</v>
      </c>
      <c r="E45" s="45">
        <v>274</v>
      </c>
      <c r="F45" s="45">
        <v>274</v>
      </c>
      <c r="G45" s="47">
        <f t="shared" si="19"/>
        <v>1</v>
      </c>
      <c r="H45" s="48" t="s">
        <v>94</v>
      </c>
      <c r="I45" s="49">
        <f t="shared" si="54"/>
        <v>8712</v>
      </c>
      <c r="J45" s="49">
        <f t="shared" si="54"/>
        <v>7937</v>
      </c>
      <c r="K45" s="49">
        <f t="shared" si="54"/>
        <v>6162</v>
      </c>
      <c r="L45" s="49">
        <f t="shared" si="54"/>
        <v>4948</v>
      </c>
      <c r="M45" s="50">
        <f t="shared" si="37"/>
        <v>27759</v>
      </c>
      <c r="N45" s="49">
        <v>2297</v>
      </c>
      <c r="O45" s="51">
        <v>938</v>
      </c>
      <c r="P45" s="51">
        <v>246</v>
      </c>
      <c r="Q45" s="51">
        <v>56</v>
      </c>
      <c r="R45" s="52">
        <f t="shared" si="4"/>
        <v>3537</v>
      </c>
      <c r="S45" s="53">
        <f t="shared" si="39"/>
        <v>0.12741813465902951</v>
      </c>
      <c r="T45" s="63">
        <v>3869</v>
      </c>
      <c r="U45" s="63">
        <v>2375</v>
      </c>
      <c r="V45" s="63">
        <v>814</v>
      </c>
      <c r="W45" s="63">
        <v>394</v>
      </c>
      <c r="X45" s="54">
        <f t="shared" si="7"/>
        <v>7452</v>
      </c>
      <c r="Y45" s="55">
        <f t="shared" si="41"/>
        <v>0.26845347454879498</v>
      </c>
      <c r="Z45" s="63">
        <v>1847</v>
      </c>
      <c r="AA45" s="63">
        <v>2241</v>
      </c>
      <c r="AB45" s="63">
        <v>1641</v>
      </c>
      <c r="AC45" s="63">
        <v>893</v>
      </c>
      <c r="AD45" s="54">
        <f t="shared" si="10"/>
        <v>6622</v>
      </c>
      <c r="AE45" s="55">
        <f t="shared" si="43"/>
        <v>0.23855326200511545</v>
      </c>
      <c r="AF45" s="63">
        <v>541</v>
      </c>
      <c r="AG45" s="63">
        <v>1707</v>
      </c>
      <c r="AH45" s="63">
        <v>2129</v>
      </c>
      <c r="AI45" s="63">
        <v>1655</v>
      </c>
      <c r="AJ45" s="52">
        <f t="shared" si="13"/>
        <v>6032</v>
      </c>
      <c r="AK45" s="56">
        <f t="shared" si="45"/>
        <v>0.2172988940523794</v>
      </c>
      <c r="AL45" s="64">
        <v>158</v>
      </c>
      <c r="AM45" s="64">
        <v>676</v>
      </c>
      <c r="AN45" s="64">
        <v>1332</v>
      </c>
      <c r="AO45" s="64">
        <v>1950</v>
      </c>
      <c r="AP45" s="52">
        <f t="shared" si="16"/>
        <v>4116</v>
      </c>
      <c r="AQ45" s="57">
        <f t="shared" si="47"/>
        <v>0.14827623473468066</v>
      </c>
      <c r="AR45" s="58">
        <f t="shared" si="18"/>
        <v>0.36557512878706006</v>
      </c>
    </row>
    <row r="46" spans="1:44">
      <c r="A46" s="43">
        <v>43</v>
      </c>
      <c r="B46" s="44" t="s">
        <v>92</v>
      </c>
      <c r="C46" s="44" t="s">
        <v>95</v>
      </c>
      <c r="D46" s="73">
        <v>44501</v>
      </c>
      <c r="E46" s="45">
        <v>206</v>
      </c>
      <c r="F46" s="45">
        <v>206</v>
      </c>
      <c r="G46" s="47">
        <f t="shared" si="19"/>
        <v>1</v>
      </c>
      <c r="H46" s="48" t="s">
        <v>96</v>
      </c>
      <c r="I46" s="49">
        <f t="shared" si="54"/>
        <v>6602</v>
      </c>
      <c r="J46" s="49">
        <f t="shared" si="54"/>
        <v>5603</v>
      </c>
      <c r="K46" s="49">
        <f t="shared" si="54"/>
        <v>4455</v>
      </c>
      <c r="L46" s="49">
        <f t="shared" si="54"/>
        <v>3155</v>
      </c>
      <c r="M46" s="50">
        <f t="shared" si="37"/>
        <v>19815</v>
      </c>
      <c r="N46" s="49">
        <v>1634</v>
      </c>
      <c r="O46" s="51">
        <v>353</v>
      </c>
      <c r="P46" s="51">
        <v>104</v>
      </c>
      <c r="Q46" s="51">
        <v>39</v>
      </c>
      <c r="R46" s="52">
        <f t="shared" si="4"/>
        <v>2130</v>
      </c>
      <c r="S46" s="53">
        <f t="shared" si="39"/>
        <v>0.10749432248296745</v>
      </c>
      <c r="T46" s="51">
        <v>2426</v>
      </c>
      <c r="U46" s="51">
        <v>1098</v>
      </c>
      <c r="V46" s="63">
        <v>385</v>
      </c>
      <c r="W46" s="63">
        <v>114</v>
      </c>
      <c r="X46" s="54">
        <f t="shared" si="7"/>
        <v>4023</v>
      </c>
      <c r="Y46" s="55">
        <f t="shared" si="41"/>
        <v>0.20302800908402724</v>
      </c>
      <c r="Z46" s="51">
        <v>1796</v>
      </c>
      <c r="AA46" s="51">
        <v>1810</v>
      </c>
      <c r="AB46" s="63">
        <v>1141</v>
      </c>
      <c r="AC46" s="63">
        <v>398</v>
      </c>
      <c r="AD46" s="54">
        <f t="shared" si="10"/>
        <v>5145</v>
      </c>
      <c r="AE46" s="55">
        <f t="shared" si="43"/>
        <v>0.25965177895533686</v>
      </c>
      <c r="AF46" s="63">
        <v>636</v>
      </c>
      <c r="AG46" s="51">
        <v>1614</v>
      </c>
      <c r="AH46" s="51">
        <v>1610</v>
      </c>
      <c r="AI46" s="51">
        <v>1044</v>
      </c>
      <c r="AJ46" s="52">
        <f t="shared" si="13"/>
        <v>4904</v>
      </c>
      <c r="AK46" s="56">
        <f t="shared" si="45"/>
        <v>0.24748927580116073</v>
      </c>
      <c r="AL46" s="64">
        <v>110</v>
      </c>
      <c r="AM46" s="52">
        <v>728</v>
      </c>
      <c r="AN46" s="52">
        <v>1215</v>
      </c>
      <c r="AO46" s="52">
        <v>1560</v>
      </c>
      <c r="AP46" s="52">
        <f t="shared" si="16"/>
        <v>3613</v>
      </c>
      <c r="AQ46" s="57">
        <f t="shared" si="47"/>
        <v>0.18233661367650769</v>
      </c>
      <c r="AR46" s="58">
        <f t="shared" si="18"/>
        <v>0.42982588947766842</v>
      </c>
    </row>
    <row r="47" spans="1:44">
      <c r="A47" s="43">
        <v>44</v>
      </c>
      <c r="B47" s="44" t="s">
        <v>92</v>
      </c>
      <c r="C47" s="44" t="s">
        <v>97</v>
      </c>
      <c r="D47" s="73">
        <v>44501</v>
      </c>
      <c r="E47" s="45">
        <v>190</v>
      </c>
      <c r="F47" s="45">
        <v>190</v>
      </c>
      <c r="G47" s="47">
        <f t="shared" si="19"/>
        <v>1</v>
      </c>
      <c r="H47" s="48" t="s">
        <v>98</v>
      </c>
      <c r="I47" s="49">
        <f t="shared" si="54"/>
        <v>7018</v>
      </c>
      <c r="J47" s="49">
        <f t="shared" si="54"/>
        <v>5890</v>
      </c>
      <c r="K47" s="49">
        <f t="shared" si="54"/>
        <v>4871</v>
      </c>
      <c r="L47" s="49">
        <f t="shared" si="54"/>
        <v>3680</v>
      </c>
      <c r="M47" s="50">
        <f t="shared" si="37"/>
        <v>21459</v>
      </c>
      <c r="N47" s="49">
        <v>2393</v>
      </c>
      <c r="O47" s="51">
        <v>545</v>
      </c>
      <c r="P47" s="51">
        <v>152</v>
      </c>
      <c r="Q47" s="51">
        <v>82</v>
      </c>
      <c r="R47" s="52">
        <f t="shared" si="4"/>
        <v>3172</v>
      </c>
      <c r="S47" s="53">
        <f t="shared" si="39"/>
        <v>0.14781676685772868</v>
      </c>
      <c r="T47" s="51">
        <v>2683</v>
      </c>
      <c r="U47" s="51">
        <v>1413</v>
      </c>
      <c r="V47" s="63">
        <v>486</v>
      </c>
      <c r="W47" s="63">
        <v>153</v>
      </c>
      <c r="X47" s="54">
        <f t="shared" si="7"/>
        <v>4735</v>
      </c>
      <c r="Y47" s="55">
        <f t="shared" si="41"/>
        <v>0.2206533389253926</v>
      </c>
      <c r="Z47" s="51">
        <v>1578</v>
      </c>
      <c r="AA47" s="51">
        <v>1796</v>
      </c>
      <c r="AB47" s="63">
        <v>959</v>
      </c>
      <c r="AC47" s="63">
        <v>407</v>
      </c>
      <c r="AD47" s="54">
        <f t="shared" si="10"/>
        <v>4740</v>
      </c>
      <c r="AE47" s="55">
        <f t="shared" si="43"/>
        <v>0.22088634139521879</v>
      </c>
      <c r="AF47" s="63">
        <v>291</v>
      </c>
      <c r="AG47" s="51">
        <v>1447</v>
      </c>
      <c r="AH47" s="51">
        <v>1715</v>
      </c>
      <c r="AI47" s="63">
        <v>1130</v>
      </c>
      <c r="AJ47" s="52">
        <f t="shared" si="13"/>
        <v>4583</v>
      </c>
      <c r="AK47" s="56">
        <f t="shared" si="45"/>
        <v>0.21357006384267674</v>
      </c>
      <c r="AL47" s="64">
        <v>73</v>
      </c>
      <c r="AM47" s="64">
        <v>689</v>
      </c>
      <c r="AN47" s="64">
        <v>1559</v>
      </c>
      <c r="AO47" s="64">
        <v>1908</v>
      </c>
      <c r="AP47" s="52">
        <f t="shared" si="16"/>
        <v>4229</v>
      </c>
      <c r="AQ47" s="57">
        <f t="shared" si="47"/>
        <v>0.19707348897898316</v>
      </c>
      <c r="AR47" s="58">
        <f t="shared" si="18"/>
        <v>0.41064355282165987</v>
      </c>
    </row>
    <row r="48" spans="1:44">
      <c r="A48" s="28" t="s">
        <v>99</v>
      </c>
      <c r="B48" s="5"/>
      <c r="C48" s="29"/>
      <c r="D48" s="30"/>
      <c r="E48" s="30">
        <f t="shared" ref="E48:F48" si="67">E49+E50+E51+E52+E53</f>
        <v>460</v>
      </c>
      <c r="F48" s="30">
        <f t="shared" si="67"/>
        <v>398</v>
      </c>
      <c r="G48" s="59">
        <f t="shared" si="19"/>
        <v>0.86521739130434783</v>
      </c>
      <c r="H48" s="32"/>
      <c r="I48" s="33">
        <f t="shared" si="54"/>
        <v>12384</v>
      </c>
      <c r="J48" s="33">
        <f t="shared" si="54"/>
        <v>7080</v>
      </c>
      <c r="K48" s="33">
        <f t="shared" si="54"/>
        <v>3801</v>
      </c>
      <c r="L48" s="33">
        <f t="shared" si="54"/>
        <v>2471</v>
      </c>
      <c r="M48" s="34">
        <f t="shared" si="37"/>
        <v>25736</v>
      </c>
      <c r="N48" s="33">
        <f>+SUM(N49:N53)</f>
        <v>3077</v>
      </c>
      <c r="O48" s="33">
        <f t="shared" ref="O48:Q48" si="68">+SUM(O49:O53)</f>
        <v>562</v>
      </c>
      <c r="P48" s="33">
        <f t="shared" si="68"/>
        <v>68</v>
      </c>
      <c r="Q48" s="33">
        <f t="shared" si="68"/>
        <v>45</v>
      </c>
      <c r="R48" s="36">
        <f t="shared" si="4"/>
        <v>3752</v>
      </c>
      <c r="S48" s="37">
        <f t="shared" si="39"/>
        <v>0.14578800124339447</v>
      </c>
      <c r="T48" s="60">
        <f>+SUM(T49:T53)</f>
        <v>4083</v>
      </c>
      <c r="U48" s="60">
        <f t="shared" ref="U48:W48" si="69">+SUM(U49:U53)</f>
        <v>1298</v>
      </c>
      <c r="V48" s="60">
        <f t="shared" si="69"/>
        <v>246</v>
      </c>
      <c r="W48" s="60">
        <f t="shared" si="69"/>
        <v>69</v>
      </c>
      <c r="X48" s="38">
        <f t="shared" si="7"/>
        <v>5696</v>
      </c>
      <c r="Y48" s="39">
        <f t="shared" si="41"/>
        <v>0.22132421510724276</v>
      </c>
      <c r="Z48" s="60">
        <f>+SUM(Z49:Z53)</f>
        <v>3487</v>
      </c>
      <c r="AA48" s="60">
        <f t="shared" ref="AA48:AC48" si="70">+SUM(AA49:AA53)</f>
        <v>2155</v>
      </c>
      <c r="AB48" s="60">
        <f t="shared" si="70"/>
        <v>699</v>
      </c>
      <c r="AC48" s="60">
        <f t="shared" si="70"/>
        <v>229</v>
      </c>
      <c r="AD48" s="38">
        <f t="shared" si="10"/>
        <v>6570</v>
      </c>
      <c r="AE48" s="39">
        <f t="shared" si="43"/>
        <v>0.25528442648430216</v>
      </c>
      <c r="AF48" s="60">
        <f>+SUM(AF49:AF53)</f>
        <v>1137</v>
      </c>
      <c r="AG48" s="60">
        <f t="shared" ref="AG48:AI48" si="71">+SUM(AG49:AG53)</f>
        <v>1867</v>
      </c>
      <c r="AH48" s="60">
        <f t="shared" si="71"/>
        <v>1398</v>
      </c>
      <c r="AI48" s="60">
        <f t="shared" si="71"/>
        <v>709</v>
      </c>
      <c r="AJ48" s="36">
        <f t="shared" si="13"/>
        <v>5111</v>
      </c>
      <c r="AK48" s="40">
        <f t="shared" si="45"/>
        <v>0.19859341000932546</v>
      </c>
      <c r="AL48" s="61">
        <f>+SUM(AL49:AL53)</f>
        <v>600</v>
      </c>
      <c r="AM48" s="61">
        <f t="shared" ref="AM48:AO48" si="72">+SUM(AM49:AM53)</f>
        <v>1198</v>
      </c>
      <c r="AN48" s="61">
        <f t="shared" si="72"/>
        <v>1390</v>
      </c>
      <c r="AO48" s="61">
        <f t="shared" si="72"/>
        <v>1419</v>
      </c>
      <c r="AP48" s="36">
        <f t="shared" si="16"/>
        <v>4607</v>
      </c>
      <c r="AQ48" s="41">
        <f t="shared" si="47"/>
        <v>0.17900994715573515</v>
      </c>
      <c r="AR48" s="42">
        <f t="shared" si="18"/>
        <v>0.3776033571650606</v>
      </c>
    </row>
    <row r="49" spans="1:44">
      <c r="A49" s="43">
        <v>45</v>
      </c>
      <c r="B49" s="44" t="s">
        <v>100</v>
      </c>
      <c r="C49" s="44" t="s">
        <v>101</v>
      </c>
      <c r="D49" s="73">
        <v>44501</v>
      </c>
      <c r="E49" s="45">
        <v>105</v>
      </c>
      <c r="F49" s="46">
        <v>56</v>
      </c>
      <c r="G49" s="47">
        <f t="shared" si="19"/>
        <v>0.53333333333333333</v>
      </c>
      <c r="H49" s="48" t="s">
        <v>102</v>
      </c>
      <c r="I49" s="49">
        <f t="shared" ref="I49:L56" si="73">N49+T49+Z49+AF49+AL49</f>
        <v>3553</v>
      </c>
      <c r="J49" s="49">
        <f t="shared" si="73"/>
        <v>2538</v>
      </c>
      <c r="K49" s="49">
        <f t="shared" si="73"/>
        <v>1551</v>
      </c>
      <c r="L49" s="49">
        <f t="shared" si="73"/>
        <v>1216</v>
      </c>
      <c r="M49" s="50">
        <f t="shared" si="37"/>
        <v>8858</v>
      </c>
      <c r="N49" s="49">
        <v>717</v>
      </c>
      <c r="O49" s="51">
        <v>240</v>
      </c>
      <c r="P49" s="51">
        <v>39</v>
      </c>
      <c r="Q49" s="51">
        <v>7</v>
      </c>
      <c r="R49" s="52">
        <f t="shared" si="4"/>
        <v>1003</v>
      </c>
      <c r="S49" s="53">
        <f t="shared" si="39"/>
        <v>0.11323097764732445</v>
      </c>
      <c r="T49" s="63">
        <v>1070</v>
      </c>
      <c r="U49" s="63">
        <v>448</v>
      </c>
      <c r="V49" s="63">
        <v>122</v>
      </c>
      <c r="W49" s="63">
        <v>37</v>
      </c>
      <c r="X49" s="54">
        <f t="shared" si="7"/>
        <v>1677</v>
      </c>
      <c r="Y49" s="55">
        <f t="shared" si="41"/>
        <v>0.18932038834951456</v>
      </c>
      <c r="Z49" s="63">
        <v>1029</v>
      </c>
      <c r="AA49" s="63">
        <v>713</v>
      </c>
      <c r="AB49" s="63">
        <v>229</v>
      </c>
      <c r="AC49" s="63">
        <v>74</v>
      </c>
      <c r="AD49" s="54">
        <f t="shared" si="10"/>
        <v>2045</v>
      </c>
      <c r="AE49" s="55">
        <f t="shared" si="43"/>
        <v>0.23086475502370737</v>
      </c>
      <c r="AF49" s="63">
        <v>518</v>
      </c>
      <c r="AG49" s="63">
        <v>620</v>
      </c>
      <c r="AH49" s="63">
        <v>521</v>
      </c>
      <c r="AI49" s="63">
        <v>308</v>
      </c>
      <c r="AJ49" s="52">
        <f t="shared" si="13"/>
        <v>1967</v>
      </c>
      <c r="AK49" s="56">
        <f t="shared" si="45"/>
        <v>0.22205915556559042</v>
      </c>
      <c r="AL49" s="64">
        <v>219</v>
      </c>
      <c r="AM49" s="64">
        <v>517</v>
      </c>
      <c r="AN49" s="64">
        <v>640</v>
      </c>
      <c r="AO49" s="64">
        <v>790</v>
      </c>
      <c r="AP49" s="52">
        <f t="shared" si="16"/>
        <v>2166</v>
      </c>
      <c r="AQ49" s="57">
        <f t="shared" si="47"/>
        <v>0.24452472341386317</v>
      </c>
      <c r="AR49" s="58">
        <f t="shared" si="18"/>
        <v>0.46658387897945358</v>
      </c>
    </row>
    <row r="50" spans="1:44">
      <c r="A50" s="43">
        <v>46</v>
      </c>
      <c r="B50" s="44" t="s">
        <v>100</v>
      </c>
      <c r="C50" s="44" t="s">
        <v>103</v>
      </c>
      <c r="D50" s="73">
        <v>44502</v>
      </c>
      <c r="E50" s="45">
        <v>135</v>
      </c>
      <c r="F50" s="46">
        <v>124</v>
      </c>
      <c r="G50" s="47">
        <f t="shared" si="19"/>
        <v>0.91851851851851851</v>
      </c>
      <c r="H50" s="48" t="s">
        <v>104</v>
      </c>
      <c r="I50" s="49">
        <f t="shared" si="73"/>
        <v>2458</v>
      </c>
      <c r="J50" s="49">
        <f t="shared" si="73"/>
        <v>1393</v>
      </c>
      <c r="K50" s="49">
        <f t="shared" si="73"/>
        <v>765</v>
      </c>
      <c r="L50" s="49">
        <f t="shared" si="73"/>
        <v>352</v>
      </c>
      <c r="M50" s="50">
        <f t="shared" si="37"/>
        <v>4968</v>
      </c>
      <c r="N50" s="49">
        <v>512</v>
      </c>
      <c r="O50" s="51">
        <v>44</v>
      </c>
      <c r="P50" s="51">
        <v>1</v>
      </c>
      <c r="Q50" s="51">
        <v>0</v>
      </c>
      <c r="R50" s="52">
        <f t="shared" si="4"/>
        <v>557</v>
      </c>
      <c r="S50" s="53">
        <f t="shared" si="39"/>
        <v>0.11211755233494364</v>
      </c>
      <c r="T50" s="63">
        <v>832</v>
      </c>
      <c r="U50" s="63">
        <v>261</v>
      </c>
      <c r="V50" s="63">
        <v>15</v>
      </c>
      <c r="W50" s="63">
        <v>2</v>
      </c>
      <c r="X50" s="54">
        <f t="shared" si="7"/>
        <v>1110</v>
      </c>
      <c r="Y50" s="55">
        <f t="shared" si="41"/>
        <v>0.22342995169082125</v>
      </c>
      <c r="Z50" s="63">
        <v>799</v>
      </c>
      <c r="AA50" s="63">
        <v>476</v>
      </c>
      <c r="AB50" s="63">
        <v>137</v>
      </c>
      <c r="AC50" s="63">
        <v>16</v>
      </c>
      <c r="AD50" s="54">
        <f t="shared" si="10"/>
        <v>1428</v>
      </c>
      <c r="AE50" s="55">
        <f t="shared" si="43"/>
        <v>0.28743961352657005</v>
      </c>
      <c r="AF50" s="63">
        <v>176</v>
      </c>
      <c r="AG50" s="63">
        <v>453</v>
      </c>
      <c r="AH50" s="63">
        <v>406</v>
      </c>
      <c r="AI50" s="63">
        <v>116</v>
      </c>
      <c r="AJ50" s="52">
        <f t="shared" si="13"/>
        <v>1151</v>
      </c>
      <c r="AK50" s="56">
        <f t="shared" si="45"/>
        <v>0.23168276972624799</v>
      </c>
      <c r="AL50" s="64">
        <v>139</v>
      </c>
      <c r="AM50" s="64">
        <v>159</v>
      </c>
      <c r="AN50" s="64">
        <v>206</v>
      </c>
      <c r="AO50" s="64">
        <v>218</v>
      </c>
      <c r="AP50" s="52">
        <f t="shared" si="16"/>
        <v>722</v>
      </c>
      <c r="AQ50" s="57">
        <f t="shared" si="47"/>
        <v>0.14533011272141708</v>
      </c>
      <c r="AR50" s="58">
        <f t="shared" si="18"/>
        <v>0.37701288244766507</v>
      </c>
    </row>
    <row r="51" spans="1:44">
      <c r="A51" s="43">
        <v>47</v>
      </c>
      <c r="B51" s="44" t="s">
        <v>100</v>
      </c>
      <c r="C51" s="44" t="s">
        <v>105</v>
      </c>
      <c r="D51" s="73">
        <v>44503</v>
      </c>
      <c r="E51" s="45">
        <v>73</v>
      </c>
      <c r="F51" s="46">
        <v>72</v>
      </c>
      <c r="G51" s="47">
        <f t="shared" si="19"/>
        <v>0.98630136986301364</v>
      </c>
      <c r="H51" s="48" t="s">
        <v>106</v>
      </c>
      <c r="I51" s="49">
        <f t="shared" si="73"/>
        <v>1580</v>
      </c>
      <c r="J51" s="49">
        <f t="shared" si="73"/>
        <v>718</v>
      </c>
      <c r="K51" s="49">
        <f t="shared" si="73"/>
        <v>326</v>
      </c>
      <c r="L51" s="49">
        <f t="shared" si="73"/>
        <v>247</v>
      </c>
      <c r="M51" s="50">
        <f t="shared" si="37"/>
        <v>2871</v>
      </c>
      <c r="N51" s="49">
        <v>594</v>
      </c>
      <c r="O51" s="51">
        <v>105</v>
      </c>
      <c r="P51" s="51">
        <v>21</v>
      </c>
      <c r="Q51" s="51">
        <v>35</v>
      </c>
      <c r="R51" s="52">
        <f t="shared" si="4"/>
        <v>755</v>
      </c>
      <c r="S51" s="53">
        <f t="shared" si="39"/>
        <v>0.26297457331940088</v>
      </c>
      <c r="T51" s="63">
        <v>537</v>
      </c>
      <c r="U51" s="63">
        <v>146</v>
      </c>
      <c r="V51" s="63">
        <v>33</v>
      </c>
      <c r="W51" s="63">
        <v>18</v>
      </c>
      <c r="X51" s="54">
        <f t="shared" si="7"/>
        <v>734</v>
      </c>
      <c r="Y51" s="55">
        <f t="shared" si="41"/>
        <v>0.25566004876349702</v>
      </c>
      <c r="Z51" s="63">
        <v>326</v>
      </c>
      <c r="AA51" s="63">
        <v>239</v>
      </c>
      <c r="AB51" s="63">
        <v>102</v>
      </c>
      <c r="AC51" s="63">
        <v>56</v>
      </c>
      <c r="AD51" s="54">
        <f t="shared" si="10"/>
        <v>723</v>
      </c>
      <c r="AE51" s="55">
        <f t="shared" si="43"/>
        <v>0.25182863113897597</v>
      </c>
      <c r="AF51" s="63">
        <v>98</v>
      </c>
      <c r="AG51" s="63">
        <v>168</v>
      </c>
      <c r="AH51" s="63">
        <v>105</v>
      </c>
      <c r="AI51" s="63">
        <v>70</v>
      </c>
      <c r="AJ51" s="52">
        <f t="shared" si="13"/>
        <v>441</v>
      </c>
      <c r="AK51" s="56">
        <f t="shared" si="45"/>
        <v>0.15360501567398119</v>
      </c>
      <c r="AL51" s="64">
        <v>25</v>
      </c>
      <c r="AM51" s="64">
        <v>60</v>
      </c>
      <c r="AN51" s="64">
        <v>65</v>
      </c>
      <c r="AO51" s="64">
        <v>68</v>
      </c>
      <c r="AP51" s="52">
        <f t="shared" si="16"/>
        <v>218</v>
      </c>
      <c r="AQ51" s="57">
        <f t="shared" si="47"/>
        <v>7.5931731104144903E-2</v>
      </c>
      <c r="AR51" s="58">
        <f t="shared" si="18"/>
        <v>0.22953674677812608</v>
      </c>
    </row>
    <row r="52" spans="1:44">
      <c r="A52" s="43">
        <v>48</v>
      </c>
      <c r="B52" s="44" t="s">
        <v>100</v>
      </c>
      <c r="C52" s="44" t="s">
        <v>107</v>
      </c>
      <c r="D52" s="73">
        <v>44504</v>
      </c>
      <c r="E52" s="45">
        <v>64</v>
      </c>
      <c r="F52" s="46">
        <v>64</v>
      </c>
      <c r="G52" s="47">
        <f t="shared" si="19"/>
        <v>1</v>
      </c>
      <c r="H52" s="48" t="s">
        <v>108</v>
      </c>
      <c r="I52" s="49">
        <f t="shared" si="73"/>
        <v>1712</v>
      </c>
      <c r="J52" s="49">
        <f t="shared" si="73"/>
        <v>773</v>
      </c>
      <c r="K52" s="49">
        <f t="shared" si="73"/>
        <v>471</v>
      </c>
      <c r="L52" s="49">
        <f t="shared" si="73"/>
        <v>252</v>
      </c>
      <c r="M52" s="50">
        <f t="shared" si="37"/>
        <v>3208</v>
      </c>
      <c r="N52" s="49">
        <v>452</v>
      </c>
      <c r="O52" s="51">
        <v>28</v>
      </c>
      <c r="P52" s="51">
        <v>2</v>
      </c>
      <c r="Q52" s="51">
        <v>1</v>
      </c>
      <c r="R52" s="52">
        <f t="shared" si="4"/>
        <v>483</v>
      </c>
      <c r="S52" s="53">
        <f t="shared" si="39"/>
        <v>0.15056109725685785</v>
      </c>
      <c r="T52" s="63">
        <v>636</v>
      </c>
      <c r="U52" s="63">
        <v>120</v>
      </c>
      <c r="V52" s="63">
        <v>30</v>
      </c>
      <c r="W52" s="63">
        <v>7</v>
      </c>
      <c r="X52" s="54">
        <f t="shared" si="7"/>
        <v>793</v>
      </c>
      <c r="Y52" s="55">
        <f t="shared" si="41"/>
        <v>0.24719451371571072</v>
      </c>
      <c r="Z52" s="63">
        <v>435</v>
      </c>
      <c r="AA52" s="63">
        <v>236</v>
      </c>
      <c r="AB52" s="63">
        <v>93</v>
      </c>
      <c r="AC52" s="63">
        <v>11</v>
      </c>
      <c r="AD52" s="54">
        <f t="shared" si="10"/>
        <v>775</v>
      </c>
      <c r="AE52" s="55">
        <f t="shared" si="43"/>
        <v>0.24158354114713218</v>
      </c>
      <c r="AF52" s="63">
        <v>108</v>
      </c>
      <c r="AG52" s="63">
        <v>206</v>
      </c>
      <c r="AH52" s="63">
        <v>152</v>
      </c>
      <c r="AI52" s="63">
        <v>74</v>
      </c>
      <c r="AJ52" s="52">
        <f t="shared" si="13"/>
        <v>540</v>
      </c>
      <c r="AK52" s="56">
        <f t="shared" si="45"/>
        <v>0.16832917705735662</v>
      </c>
      <c r="AL52" s="64">
        <v>81</v>
      </c>
      <c r="AM52" s="64">
        <v>183</v>
      </c>
      <c r="AN52" s="64">
        <v>194</v>
      </c>
      <c r="AO52" s="64">
        <v>159</v>
      </c>
      <c r="AP52" s="52">
        <f t="shared" si="16"/>
        <v>617</v>
      </c>
      <c r="AQ52" s="57">
        <f t="shared" si="47"/>
        <v>0.19233167082294264</v>
      </c>
      <c r="AR52" s="58">
        <f t="shared" si="18"/>
        <v>0.36066084788029928</v>
      </c>
    </row>
    <row r="53" spans="1:44">
      <c r="A53" s="43">
        <v>49</v>
      </c>
      <c r="B53" s="44" t="s">
        <v>100</v>
      </c>
      <c r="C53" s="44" t="s">
        <v>109</v>
      </c>
      <c r="D53" s="73">
        <v>44505</v>
      </c>
      <c r="E53" s="45">
        <v>83</v>
      </c>
      <c r="F53" s="46">
        <v>82</v>
      </c>
      <c r="G53" s="47">
        <f t="shared" si="19"/>
        <v>0.98795180722891562</v>
      </c>
      <c r="H53" s="48" t="s">
        <v>110</v>
      </c>
      <c r="I53" s="49">
        <f t="shared" si="73"/>
        <v>3081</v>
      </c>
      <c r="J53" s="49">
        <f t="shared" si="73"/>
        <v>1658</v>
      </c>
      <c r="K53" s="49">
        <f t="shared" si="73"/>
        <v>688</v>
      </c>
      <c r="L53" s="49">
        <f t="shared" si="73"/>
        <v>404</v>
      </c>
      <c r="M53" s="50">
        <f t="shared" si="37"/>
        <v>5831</v>
      </c>
      <c r="N53" s="49">
        <v>802</v>
      </c>
      <c r="O53" s="51">
        <v>145</v>
      </c>
      <c r="P53" s="51">
        <v>5</v>
      </c>
      <c r="Q53" s="51">
        <v>2</v>
      </c>
      <c r="R53" s="52">
        <f t="shared" si="4"/>
        <v>954</v>
      </c>
      <c r="S53" s="53">
        <f t="shared" si="39"/>
        <v>0.16360830046304237</v>
      </c>
      <c r="T53" s="63">
        <v>1008</v>
      </c>
      <c r="U53" s="63">
        <v>323</v>
      </c>
      <c r="V53" s="63">
        <v>46</v>
      </c>
      <c r="W53" s="63">
        <v>5</v>
      </c>
      <c r="X53" s="54">
        <f t="shared" si="7"/>
        <v>1382</v>
      </c>
      <c r="Y53" s="55">
        <f t="shared" si="41"/>
        <v>0.23700908935002574</v>
      </c>
      <c r="Z53" s="63">
        <v>898</v>
      </c>
      <c r="AA53" s="63">
        <v>491</v>
      </c>
      <c r="AB53" s="63">
        <v>138</v>
      </c>
      <c r="AC53" s="63">
        <v>72</v>
      </c>
      <c r="AD53" s="54">
        <f t="shared" si="10"/>
        <v>1599</v>
      </c>
      <c r="AE53" s="55">
        <f t="shared" si="43"/>
        <v>0.27422397530440745</v>
      </c>
      <c r="AF53" s="63">
        <v>237</v>
      </c>
      <c r="AG53" s="63">
        <v>420</v>
      </c>
      <c r="AH53" s="63">
        <v>214</v>
      </c>
      <c r="AI53" s="63">
        <v>141</v>
      </c>
      <c r="AJ53" s="52">
        <f t="shared" si="13"/>
        <v>1012</v>
      </c>
      <c r="AK53" s="56">
        <f t="shared" si="45"/>
        <v>0.17355513634025038</v>
      </c>
      <c r="AL53" s="64">
        <v>136</v>
      </c>
      <c r="AM53" s="64">
        <v>279</v>
      </c>
      <c r="AN53" s="64">
        <v>285</v>
      </c>
      <c r="AO53" s="64">
        <v>184</v>
      </c>
      <c r="AP53" s="52">
        <f t="shared" si="16"/>
        <v>884</v>
      </c>
      <c r="AQ53" s="57">
        <f t="shared" si="47"/>
        <v>0.15160349854227406</v>
      </c>
      <c r="AR53" s="58">
        <f t="shared" si="18"/>
        <v>0.32515863488252444</v>
      </c>
    </row>
    <row r="54" spans="1:44">
      <c r="A54" s="28" t="s">
        <v>111</v>
      </c>
      <c r="B54" s="5"/>
      <c r="C54" s="29"/>
      <c r="D54" s="30"/>
      <c r="E54" s="30">
        <f t="shared" ref="E54:F54" si="74">E55+E56</f>
        <v>633</v>
      </c>
      <c r="F54" s="30">
        <f t="shared" si="74"/>
        <v>629</v>
      </c>
      <c r="G54" s="59">
        <f t="shared" si="19"/>
        <v>0.99368088467614535</v>
      </c>
      <c r="H54" s="32"/>
      <c r="I54" s="33">
        <f t="shared" si="73"/>
        <v>17658</v>
      </c>
      <c r="J54" s="33">
        <f t="shared" si="73"/>
        <v>15104</v>
      </c>
      <c r="K54" s="33">
        <f t="shared" si="73"/>
        <v>11425</v>
      </c>
      <c r="L54" s="33">
        <f t="shared" si="73"/>
        <v>8491</v>
      </c>
      <c r="M54" s="34">
        <f t="shared" si="37"/>
        <v>52678</v>
      </c>
      <c r="N54" s="33">
        <f>+SUM(N55:N56)</f>
        <v>4623</v>
      </c>
      <c r="O54" s="35">
        <f t="shared" ref="O54" si="75">+SUM(O55:O56)</f>
        <v>1337</v>
      </c>
      <c r="P54" s="35">
        <f t="shared" ref="P54:Q54" si="76">+SUM(P55:P56)</f>
        <v>326</v>
      </c>
      <c r="Q54" s="35">
        <f t="shared" si="76"/>
        <v>61</v>
      </c>
      <c r="R54" s="36">
        <f t="shared" si="4"/>
        <v>6347</v>
      </c>
      <c r="S54" s="37">
        <f t="shared" si="39"/>
        <v>0.12048673070351949</v>
      </c>
      <c r="T54" s="60">
        <f>+SUM(T55:T56)</f>
        <v>6230</v>
      </c>
      <c r="U54" s="60">
        <f t="shared" ref="U54:W54" si="77">+SUM(U55:U56)</f>
        <v>3347</v>
      </c>
      <c r="V54" s="60">
        <f t="shared" si="77"/>
        <v>1375</v>
      </c>
      <c r="W54" s="60">
        <f t="shared" si="77"/>
        <v>410</v>
      </c>
      <c r="X54" s="38">
        <f t="shared" si="7"/>
        <v>11362</v>
      </c>
      <c r="Y54" s="39">
        <f t="shared" si="41"/>
        <v>0.21568776339268764</v>
      </c>
      <c r="Z54" s="60">
        <f>+SUM(Z55:Z56)</f>
        <v>4463</v>
      </c>
      <c r="AA54" s="60">
        <f t="shared" ref="AA54:AC54" si="78">+SUM(AA55:AA56)</f>
        <v>4657</v>
      </c>
      <c r="AB54" s="60">
        <f t="shared" si="78"/>
        <v>3072</v>
      </c>
      <c r="AC54" s="60">
        <f t="shared" si="78"/>
        <v>1336</v>
      </c>
      <c r="AD54" s="38">
        <f t="shared" si="10"/>
        <v>13528</v>
      </c>
      <c r="AE54" s="39">
        <f t="shared" si="43"/>
        <v>0.25680549755115989</v>
      </c>
      <c r="AF54" s="60">
        <f>+SUM(AF55:AF56)</f>
        <v>1929</v>
      </c>
      <c r="AG54" s="60">
        <f t="shared" ref="AG54:AI54" si="79">+SUM(AG55:AG56)</f>
        <v>3917</v>
      </c>
      <c r="AH54" s="60">
        <f t="shared" si="79"/>
        <v>3889</v>
      </c>
      <c r="AI54" s="60">
        <f t="shared" si="79"/>
        <v>3052</v>
      </c>
      <c r="AJ54" s="36">
        <f t="shared" si="13"/>
        <v>12787</v>
      </c>
      <c r="AK54" s="40">
        <f t="shared" si="45"/>
        <v>0.24273890428641937</v>
      </c>
      <c r="AL54" s="61">
        <f>+SUM(AL55:AL56)</f>
        <v>413</v>
      </c>
      <c r="AM54" s="61">
        <f t="shared" ref="AM54:AO54" si="80">+SUM(AM55:AM56)</f>
        <v>1846</v>
      </c>
      <c r="AN54" s="61">
        <f t="shared" si="80"/>
        <v>2763</v>
      </c>
      <c r="AO54" s="61">
        <f t="shared" si="80"/>
        <v>3632</v>
      </c>
      <c r="AP54" s="36">
        <f t="shared" si="16"/>
        <v>8654</v>
      </c>
      <c r="AQ54" s="41">
        <f t="shared" si="47"/>
        <v>0.1642811040662136</v>
      </c>
      <c r="AR54" s="42">
        <f t="shared" si="18"/>
        <v>0.40702000835263297</v>
      </c>
    </row>
    <row r="55" spans="1:44">
      <c r="A55" s="43">
        <v>50</v>
      </c>
      <c r="B55" s="44" t="s">
        <v>112</v>
      </c>
      <c r="C55" s="44" t="s">
        <v>113</v>
      </c>
      <c r="D55" s="73">
        <v>44501</v>
      </c>
      <c r="E55" s="45">
        <v>350</v>
      </c>
      <c r="F55" s="46">
        <v>349</v>
      </c>
      <c r="G55" s="47">
        <f t="shared" si="19"/>
        <v>0.99714285714285711</v>
      </c>
      <c r="H55" s="48" t="s">
        <v>114</v>
      </c>
      <c r="I55" s="49">
        <f t="shared" si="73"/>
        <v>11812</v>
      </c>
      <c r="J55" s="49">
        <f t="shared" si="73"/>
        <v>9937</v>
      </c>
      <c r="K55" s="49">
        <f t="shared" si="73"/>
        <v>7507</v>
      </c>
      <c r="L55" s="49">
        <f t="shared" si="73"/>
        <v>5885</v>
      </c>
      <c r="M55" s="50">
        <f t="shared" si="37"/>
        <v>35141</v>
      </c>
      <c r="N55" s="49">
        <v>3051</v>
      </c>
      <c r="O55" s="51">
        <v>878</v>
      </c>
      <c r="P55" s="51">
        <v>224</v>
      </c>
      <c r="Q55" s="51">
        <v>52</v>
      </c>
      <c r="R55" s="52">
        <f t="shared" si="4"/>
        <v>4205</v>
      </c>
      <c r="S55" s="53">
        <f t="shared" si="39"/>
        <v>0.11966079508266697</v>
      </c>
      <c r="T55" s="63">
        <v>4105</v>
      </c>
      <c r="U55" s="63">
        <v>2134</v>
      </c>
      <c r="V55" s="63">
        <v>893</v>
      </c>
      <c r="W55" s="63">
        <v>248</v>
      </c>
      <c r="X55" s="54">
        <f t="shared" si="7"/>
        <v>7380</v>
      </c>
      <c r="Y55" s="55">
        <f t="shared" si="41"/>
        <v>0.21001109814746308</v>
      </c>
      <c r="Z55" s="63">
        <v>2874</v>
      </c>
      <c r="AA55" s="63">
        <v>2976</v>
      </c>
      <c r="AB55" s="63">
        <v>1909</v>
      </c>
      <c r="AC55" s="63">
        <v>886</v>
      </c>
      <c r="AD55" s="54">
        <f t="shared" si="10"/>
        <v>8645</v>
      </c>
      <c r="AE55" s="55">
        <f t="shared" si="43"/>
        <v>0.2460089354315472</v>
      </c>
      <c r="AF55" s="63">
        <v>1476</v>
      </c>
      <c r="AG55" s="63">
        <v>2675</v>
      </c>
      <c r="AH55" s="63">
        <v>2583</v>
      </c>
      <c r="AI55" s="63">
        <v>2128</v>
      </c>
      <c r="AJ55" s="52">
        <f t="shared" si="13"/>
        <v>8862</v>
      </c>
      <c r="AK55" s="56">
        <f t="shared" si="45"/>
        <v>0.25218405850715686</v>
      </c>
      <c r="AL55" s="64">
        <v>306</v>
      </c>
      <c r="AM55" s="64">
        <v>1274</v>
      </c>
      <c r="AN55" s="64">
        <v>1898</v>
      </c>
      <c r="AO55" s="64">
        <v>2571</v>
      </c>
      <c r="AP55" s="52">
        <f t="shared" si="16"/>
        <v>6049</v>
      </c>
      <c r="AQ55" s="57">
        <f t="shared" si="47"/>
        <v>0.17213511283116587</v>
      </c>
      <c r="AR55" s="58">
        <f t="shared" si="18"/>
        <v>0.42431917133832275</v>
      </c>
    </row>
    <row r="56" spans="1:44">
      <c r="A56" s="43">
        <v>51</v>
      </c>
      <c r="B56" s="44" t="s">
        <v>112</v>
      </c>
      <c r="C56" s="44" t="s">
        <v>115</v>
      </c>
      <c r="D56" s="73">
        <v>44501</v>
      </c>
      <c r="E56" s="45">
        <v>283</v>
      </c>
      <c r="F56" s="46">
        <v>280</v>
      </c>
      <c r="G56" s="47">
        <f t="shared" si="19"/>
        <v>0.98939929328621912</v>
      </c>
      <c r="H56" s="48" t="s">
        <v>116</v>
      </c>
      <c r="I56" s="49">
        <f t="shared" si="73"/>
        <v>5846</v>
      </c>
      <c r="J56" s="49">
        <f t="shared" si="73"/>
        <v>5167</v>
      </c>
      <c r="K56" s="49">
        <f t="shared" si="73"/>
        <v>3918</v>
      </c>
      <c r="L56" s="49">
        <f t="shared" si="73"/>
        <v>2606</v>
      </c>
      <c r="M56" s="50">
        <f t="shared" si="37"/>
        <v>17537</v>
      </c>
      <c r="N56" s="49">
        <v>1572</v>
      </c>
      <c r="O56" s="51">
        <v>459</v>
      </c>
      <c r="P56" s="51">
        <v>102</v>
      </c>
      <c r="Q56" s="51">
        <v>9</v>
      </c>
      <c r="R56" s="52">
        <f t="shared" si="4"/>
        <v>2142</v>
      </c>
      <c r="S56" s="53">
        <f t="shared" si="39"/>
        <v>0.12214175742715402</v>
      </c>
      <c r="T56" s="63">
        <v>2125</v>
      </c>
      <c r="U56" s="63">
        <v>1213</v>
      </c>
      <c r="V56" s="63">
        <v>482</v>
      </c>
      <c r="W56" s="63">
        <v>162</v>
      </c>
      <c r="X56" s="54">
        <f t="shared" si="7"/>
        <v>3982</v>
      </c>
      <c r="Y56" s="55">
        <f t="shared" si="41"/>
        <v>0.22706278154758511</v>
      </c>
      <c r="Z56" s="63">
        <v>1589</v>
      </c>
      <c r="AA56" s="63">
        <v>1681</v>
      </c>
      <c r="AB56" s="63">
        <v>1163</v>
      </c>
      <c r="AC56" s="63">
        <v>450</v>
      </c>
      <c r="AD56" s="54">
        <f t="shared" si="10"/>
        <v>4883</v>
      </c>
      <c r="AE56" s="55">
        <f t="shared" si="43"/>
        <v>0.27843986998916576</v>
      </c>
      <c r="AF56" s="63">
        <v>453</v>
      </c>
      <c r="AG56" s="63">
        <v>1242</v>
      </c>
      <c r="AH56" s="63">
        <v>1306</v>
      </c>
      <c r="AI56" s="63">
        <v>924</v>
      </c>
      <c r="AJ56" s="52">
        <f t="shared" si="13"/>
        <v>3925</v>
      </c>
      <c r="AK56" s="56">
        <f t="shared" si="45"/>
        <v>0.22381251069168046</v>
      </c>
      <c r="AL56" s="64">
        <v>107</v>
      </c>
      <c r="AM56" s="64">
        <v>572</v>
      </c>
      <c r="AN56" s="64">
        <v>865</v>
      </c>
      <c r="AO56" s="64">
        <v>1061</v>
      </c>
      <c r="AP56" s="52">
        <f t="shared" si="16"/>
        <v>2605</v>
      </c>
      <c r="AQ56" s="57">
        <f t="shared" si="47"/>
        <v>0.14854308034441466</v>
      </c>
      <c r="AR56" s="58">
        <f t="shared" si="18"/>
        <v>0.37235559103609511</v>
      </c>
    </row>
  </sheetData>
  <mergeCells count="10">
    <mergeCell ref="A31:B31"/>
    <mergeCell ref="A40:B40"/>
    <mergeCell ref="A44:B44"/>
    <mergeCell ref="A48:B48"/>
    <mergeCell ref="A54:B54"/>
    <mergeCell ref="I1:L1"/>
    <mergeCell ref="A3:B3"/>
    <mergeCell ref="A11:B11"/>
    <mergeCell ref="A15:B15"/>
    <mergeCell ref="A23:B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2462-B92A-4DC8-884B-774BF8F6C7D0}">
  <dimension ref="A1:AR978"/>
  <sheetViews>
    <sheetView zoomScale="70" zoomScaleNormal="70" workbookViewId="0">
      <selection activeCell="AS1" sqref="AS1:BG1048576"/>
    </sheetView>
  </sheetViews>
  <sheetFormatPr baseColWidth="10" defaultColWidth="14.44140625" defaultRowHeight="14.4"/>
  <cols>
    <col min="1" max="1" width="7.6640625" style="74" customWidth="1"/>
    <col min="2" max="3" width="29.6640625" style="74" customWidth="1"/>
    <col min="4" max="7" width="14" style="74" customWidth="1"/>
    <col min="8" max="18" width="14.109375" style="74" customWidth="1"/>
    <col min="19" max="19" width="14.109375" style="82" customWidth="1"/>
    <col min="20" max="23" width="14.109375" style="74" customWidth="1"/>
    <col min="24" max="25" width="14.109375" style="82" customWidth="1"/>
    <col min="26" max="29" width="14.109375" style="74" customWidth="1"/>
    <col min="30" max="31" width="14.109375" style="82" customWidth="1"/>
    <col min="32" max="43" width="14.109375" style="74" customWidth="1"/>
    <col min="44" max="44" width="15.109375" style="74" customWidth="1"/>
    <col min="45" max="16384" width="14.44140625" style="74"/>
  </cols>
  <sheetData>
    <row r="1" spans="1:44" ht="31.5" customHeight="1">
      <c r="A1" s="1" t="s">
        <v>117</v>
      </c>
      <c r="B1" s="2"/>
      <c r="C1" s="2"/>
      <c r="D1" s="2"/>
      <c r="E1" s="2"/>
      <c r="F1" s="2"/>
      <c r="G1" s="2"/>
      <c r="H1" s="2"/>
      <c r="I1" s="3" t="s">
        <v>1</v>
      </c>
      <c r="J1" s="4"/>
      <c r="K1" s="4"/>
      <c r="L1" s="5"/>
      <c r="M1" s="6"/>
      <c r="N1" s="6"/>
      <c r="O1" s="6"/>
      <c r="P1" s="6"/>
      <c r="Q1" s="6"/>
      <c r="R1" s="7"/>
      <c r="S1" s="8"/>
      <c r="T1" s="7"/>
      <c r="U1" s="7"/>
      <c r="V1" s="7"/>
      <c r="W1" s="7"/>
      <c r="X1" s="8"/>
      <c r="Y1" s="8"/>
      <c r="Z1" s="7"/>
      <c r="AA1" s="7"/>
      <c r="AB1" s="7"/>
      <c r="AC1" s="7"/>
      <c r="AD1" s="8"/>
      <c r="AE1" s="8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9"/>
      <c r="AR1" s="9"/>
    </row>
    <row r="2" spans="1:44" ht="50.25" customHeight="1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1" t="s">
        <v>8</v>
      </c>
      <c r="H2" s="12" t="s">
        <v>9</v>
      </c>
      <c r="I2" s="13" t="s">
        <v>10</v>
      </c>
      <c r="J2" s="14" t="s">
        <v>11</v>
      </c>
      <c r="K2" s="14" t="s">
        <v>12</v>
      </c>
      <c r="L2" s="14" t="s">
        <v>13</v>
      </c>
      <c r="M2" s="15" t="s">
        <v>14</v>
      </c>
      <c r="N2" s="16" t="s">
        <v>10</v>
      </c>
      <c r="O2" s="17" t="s">
        <v>11</v>
      </c>
      <c r="P2" s="17" t="s">
        <v>12</v>
      </c>
      <c r="Q2" s="17" t="s">
        <v>13</v>
      </c>
      <c r="R2" s="18" t="s">
        <v>15</v>
      </c>
      <c r="S2" s="75" t="s">
        <v>16</v>
      </c>
      <c r="T2" s="20" t="s">
        <v>10</v>
      </c>
      <c r="U2" s="20" t="s">
        <v>11</v>
      </c>
      <c r="V2" s="20" t="s">
        <v>12</v>
      </c>
      <c r="W2" s="20" t="s">
        <v>13</v>
      </c>
      <c r="X2" s="21" t="s">
        <v>17</v>
      </c>
      <c r="Y2" s="21" t="s">
        <v>18</v>
      </c>
      <c r="Z2" s="22" t="s">
        <v>10</v>
      </c>
      <c r="AA2" s="22" t="s">
        <v>11</v>
      </c>
      <c r="AB2" s="22" t="s">
        <v>12</v>
      </c>
      <c r="AC2" s="22" t="s">
        <v>13</v>
      </c>
      <c r="AD2" s="23" t="s">
        <v>19</v>
      </c>
      <c r="AE2" s="23" t="s">
        <v>20</v>
      </c>
      <c r="AF2" s="24" t="s">
        <v>10</v>
      </c>
      <c r="AG2" s="24" t="s">
        <v>11</v>
      </c>
      <c r="AH2" s="24" t="s">
        <v>12</v>
      </c>
      <c r="AI2" s="24" t="s">
        <v>13</v>
      </c>
      <c r="AJ2" s="24" t="s">
        <v>21</v>
      </c>
      <c r="AK2" s="24" t="s">
        <v>22</v>
      </c>
      <c r="AL2" s="25" t="s">
        <v>10</v>
      </c>
      <c r="AM2" s="25" t="s">
        <v>11</v>
      </c>
      <c r="AN2" s="25" t="s">
        <v>12</v>
      </c>
      <c r="AO2" s="25" t="s">
        <v>13</v>
      </c>
      <c r="AP2" s="25" t="s">
        <v>23</v>
      </c>
      <c r="AQ2" s="26" t="s">
        <v>24</v>
      </c>
      <c r="AR2" s="27" t="s">
        <v>25</v>
      </c>
    </row>
    <row r="3" spans="1:44" ht="30.75" customHeight="1">
      <c r="A3" s="28" t="s">
        <v>26</v>
      </c>
      <c r="B3" s="5"/>
      <c r="C3" s="29"/>
      <c r="D3" s="30"/>
      <c r="E3" s="30">
        <f t="shared" ref="E3:F3" si="0">SUM(E4:E10)</f>
        <v>1786</v>
      </c>
      <c r="F3" s="30">
        <f t="shared" si="0"/>
        <v>1773</v>
      </c>
      <c r="G3" s="31">
        <f t="shared" ref="G3:G56" si="1">F3/E3</f>
        <v>0.99272116461366178</v>
      </c>
      <c r="H3" s="32"/>
      <c r="I3" s="33">
        <f t="shared" ref="I3:L12" si="2">N3+T3+Z3+AF3+AL3</f>
        <v>51303</v>
      </c>
      <c r="J3" s="33">
        <f t="shared" si="2"/>
        <v>40580</v>
      </c>
      <c r="K3" s="33">
        <f t="shared" si="2"/>
        <v>27707</v>
      </c>
      <c r="L3" s="33">
        <f t="shared" si="2"/>
        <v>25724</v>
      </c>
      <c r="M3" s="34">
        <f t="shared" ref="M3:M56" si="3">SUM(I3:L3)</f>
        <v>145314</v>
      </c>
      <c r="N3" s="33">
        <f>+SUM(N4:N10)</f>
        <v>3346</v>
      </c>
      <c r="O3" s="35">
        <f t="shared" ref="O3:Q3" si="4">+SUM(O4:O10)</f>
        <v>807</v>
      </c>
      <c r="P3" s="35">
        <f t="shared" si="4"/>
        <v>184</v>
      </c>
      <c r="Q3" s="35">
        <f t="shared" si="4"/>
        <v>60</v>
      </c>
      <c r="R3" s="36">
        <f t="shared" ref="R3:R56" si="5">SUM(N3:Q3)</f>
        <v>4397</v>
      </c>
      <c r="S3" s="39">
        <f t="shared" ref="S3:S56" si="6">+IFERROR(R3/$M3,"")</f>
        <v>3.025861238421625E-2</v>
      </c>
      <c r="T3" s="60">
        <f>+SUM(T4:T10)</f>
        <v>8498</v>
      </c>
      <c r="U3" s="60">
        <f t="shared" ref="U3:W3" si="7">+SUM(U4:U10)</f>
        <v>2854</v>
      </c>
      <c r="V3" s="60">
        <f t="shared" si="7"/>
        <v>535</v>
      </c>
      <c r="W3" s="60">
        <f t="shared" si="7"/>
        <v>214</v>
      </c>
      <c r="X3" s="38">
        <f t="shared" ref="X3:X56" si="8">SUM(T3:W3)</f>
        <v>12101</v>
      </c>
      <c r="Y3" s="39">
        <f t="shared" ref="Y3:Y56" si="9">+IFERROR(X3/$M3,"")</f>
        <v>8.3274839313486657E-2</v>
      </c>
      <c r="Z3" s="60">
        <f>+SUM(Z4:Z10)</f>
        <v>14132</v>
      </c>
      <c r="AA3" s="60">
        <f t="shared" ref="AA3:AC3" si="10">+SUM(AA4:AA10)</f>
        <v>7082</v>
      </c>
      <c r="AB3" s="60">
        <f t="shared" si="10"/>
        <v>2272</v>
      </c>
      <c r="AC3" s="60">
        <f t="shared" si="10"/>
        <v>1110</v>
      </c>
      <c r="AD3" s="38">
        <f t="shared" ref="AD3:AD56" si="11">SUM(Z3:AC3)</f>
        <v>24596</v>
      </c>
      <c r="AE3" s="39">
        <f t="shared" ref="AE3:AE56" si="12">+IFERROR(AD3/$M3,"")</f>
        <v>0.16926104848810164</v>
      </c>
      <c r="AF3" s="60">
        <f>+SUM(AF4:AF10)</f>
        <v>13774</v>
      </c>
      <c r="AG3" s="60">
        <f t="shared" ref="AG3:AI3" si="13">+SUM(AG4:AG10)</f>
        <v>11671</v>
      </c>
      <c r="AH3" s="60">
        <f t="shared" si="13"/>
        <v>7503</v>
      </c>
      <c r="AI3" s="60">
        <f t="shared" si="13"/>
        <v>4834</v>
      </c>
      <c r="AJ3" s="36">
        <f t="shared" ref="AJ3:AJ56" si="14">SUM(AF3:AI3)</f>
        <v>37782</v>
      </c>
      <c r="AK3" s="40">
        <f t="shared" ref="AK3:AK56" si="15">+IFERROR(AJ3/$M3,"")</f>
        <v>0.26000247739378174</v>
      </c>
      <c r="AL3" s="61">
        <f>+SUM(AL4:AL10)</f>
        <v>11553</v>
      </c>
      <c r="AM3" s="61">
        <f t="shared" ref="AM3:AO3" si="16">+SUM(AM4:AM10)</f>
        <v>18166</v>
      </c>
      <c r="AN3" s="61">
        <f t="shared" si="16"/>
        <v>17213</v>
      </c>
      <c r="AO3" s="61">
        <f t="shared" si="16"/>
        <v>19506</v>
      </c>
      <c r="AP3" s="36">
        <f t="shared" ref="AP3:AP56" si="17">SUM(AL3:AO3)</f>
        <v>66438</v>
      </c>
      <c r="AQ3" s="41">
        <f t="shared" ref="AQ3:AQ56" si="18">+IFERROR(AP3/$M3,"")</f>
        <v>0.45720302242041372</v>
      </c>
      <c r="AR3" s="42">
        <f t="shared" ref="AR3:AR56" si="19">IFERROR(+AK3+AQ3,"")</f>
        <v>0.71720549981419546</v>
      </c>
    </row>
    <row r="4" spans="1:44" ht="30.75" customHeight="1">
      <c r="A4" s="43">
        <v>6</v>
      </c>
      <c r="B4" s="44" t="s">
        <v>27</v>
      </c>
      <c r="C4" s="44" t="s">
        <v>28</v>
      </c>
      <c r="D4" s="76">
        <v>46164</v>
      </c>
      <c r="E4" s="45">
        <v>107</v>
      </c>
      <c r="F4" s="46">
        <v>107</v>
      </c>
      <c r="G4" s="47">
        <f t="shared" si="1"/>
        <v>1</v>
      </c>
      <c r="H4" s="48">
        <v>10888</v>
      </c>
      <c r="I4" s="49">
        <f t="shared" si="2"/>
        <v>3545</v>
      </c>
      <c r="J4" s="49">
        <f t="shared" si="2"/>
        <v>2884</v>
      </c>
      <c r="K4" s="49">
        <f t="shared" si="2"/>
        <v>2001</v>
      </c>
      <c r="L4" s="49">
        <f t="shared" si="2"/>
        <v>2073</v>
      </c>
      <c r="M4" s="50">
        <f t="shared" si="3"/>
        <v>10503</v>
      </c>
      <c r="N4" s="49">
        <v>292</v>
      </c>
      <c r="O4" s="51">
        <v>85</v>
      </c>
      <c r="P4" s="51">
        <v>20</v>
      </c>
      <c r="Q4" s="51">
        <v>2</v>
      </c>
      <c r="R4" s="52">
        <f t="shared" si="5"/>
        <v>399</v>
      </c>
      <c r="S4" s="55">
        <f t="shared" si="6"/>
        <v>3.7989145958297631E-2</v>
      </c>
      <c r="T4" s="63">
        <v>571</v>
      </c>
      <c r="U4" s="63">
        <v>243</v>
      </c>
      <c r="V4" s="63">
        <v>38</v>
      </c>
      <c r="W4" s="63">
        <v>17</v>
      </c>
      <c r="X4" s="54">
        <f t="shared" si="8"/>
        <v>869</v>
      </c>
      <c r="Y4" s="55">
        <f t="shared" si="9"/>
        <v>8.2738265257545462E-2</v>
      </c>
      <c r="Z4" s="63">
        <v>836</v>
      </c>
      <c r="AA4" s="63">
        <v>560</v>
      </c>
      <c r="AB4" s="63">
        <v>170</v>
      </c>
      <c r="AC4" s="63">
        <v>121</v>
      </c>
      <c r="AD4" s="54">
        <f t="shared" si="11"/>
        <v>1687</v>
      </c>
      <c r="AE4" s="55">
        <f t="shared" si="12"/>
        <v>0.16062077501666192</v>
      </c>
      <c r="AF4" s="63">
        <v>854</v>
      </c>
      <c r="AG4" s="63">
        <v>774</v>
      </c>
      <c r="AH4" s="63">
        <v>605</v>
      </c>
      <c r="AI4" s="63">
        <v>526</v>
      </c>
      <c r="AJ4" s="52">
        <f t="shared" si="14"/>
        <v>2759</v>
      </c>
      <c r="AK4" s="56">
        <f t="shared" si="15"/>
        <v>0.26268685137579739</v>
      </c>
      <c r="AL4" s="64">
        <v>992</v>
      </c>
      <c r="AM4" s="52">
        <v>1222</v>
      </c>
      <c r="AN4" s="52">
        <v>1168</v>
      </c>
      <c r="AO4" s="52">
        <v>1407</v>
      </c>
      <c r="AP4" s="52">
        <f t="shared" si="17"/>
        <v>4789</v>
      </c>
      <c r="AQ4" s="57">
        <f t="shared" si="18"/>
        <v>0.45596496239169759</v>
      </c>
      <c r="AR4" s="58">
        <f>IFERROR(+AK4+AQ4,"")</f>
        <v>0.71865181376749498</v>
      </c>
    </row>
    <row r="5" spans="1:44" ht="30.75" customHeight="1">
      <c r="A5" s="43">
        <v>7</v>
      </c>
      <c r="B5" s="44" t="s">
        <v>27</v>
      </c>
      <c r="C5" s="44" t="s">
        <v>30</v>
      </c>
      <c r="D5" s="76">
        <v>46164</v>
      </c>
      <c r="E5" s="45">
        <v>388</v>
      </c>
      <c r="F5" s="46">
        <v>384</v>
      </c>
      <c r="G5" s="47">
        <f t="shared" si="1"/>
        <v>0.98969072164948457</v>
      </c>
      <c r="H5" s="48">
        <v>26080</v>
      </c>
      <c r="I5" s="49">
        <f t="shared" si="2"/>
        <v>7485</v>
      </c>
      <c r="J5" s="49">
        <f t="shared" si="2"/>
        <v>5982</v>
      </c>
      <c r="K5" s="49">
        <f t="shared" si="2"/>
        <v>4458</v>
      </c>
      <c r="L5" s="49">
        <f t="shared" si="2"/>
        <v>3793</v>
      </c>
      <c r="M5" s="50">
        <f t="shared" si="3"/>
        <v>21718</v>
      </c>
      <c r="N5" s="49">
        <v>235</v>
      </c>
      <c r="O5" s="51">
        <v>52</v>
      </c>
      <c r="P5" s="51">
        <v>39</v>
      </c>
      <c r="Q5" s="51">
        <v>32</v>
      </c>
      <c r="R5" s="52">
        <f t="shared" si="5"/>
        <v>358</v>
      </c>
      <c r="S5" s="55">
        <f t="shared" si="6"/>
        <v>1.6484022469840685E-2</v>
      </c>
      <c r="T5" s="63">
        <v>816</v>
      </c>
      <c r="U5" s="63">
        <v>287</v>
      </c>
      <c r="V5" s="63">
        <v>56</v>
      </c>
      <c r="W5" s="63">
        <v>27</v>
      </c>
      <c r="X5" s="54">
        <f t="shared" si="8"/>
        <v>1186</v>
      </c>
      <c r="Y5" s="55">
        <f t="shared" si="9"/>
        <v>5.4609080025785066E-2</v>
      </c>
      <c r="Z5" s="51">
        <v>1575</v>
      </c>
      <c r="AA5" s="63">
        <v>778</v>
      </c>
      <c r="AB5" s="63">
        <v>309</v>
      </c>
      <c r="AC5" s="63">
        <v>159</v>
      </c>
      <c r="AD5" s="54">
        <f t="shared" si="11"/>
        <v>2821</v>
      </c>
      <c r="AE5" s="55">
        <f t="shared" si="12"/>
        <v>0.1298922552721245</v>
      </c>
      <c r="AF5" s="51">
        <v>2380</v>
      </c>
      <c r="AG5" s="51">
        <v>1481</v>
      </c>
      <c r="AH5" s="63">
        <v>968</v>
      </c>
      <c r="AI5" s="63">
        <v>574</v>
      </c>
      <c r="AJ5" s="52">
        <f t="shared" si="14"/>
        <v>5403</v>
      </c>
      <c r="AK5" s="56">
        <f t="shared" si="15"/>
        <v>0.24877981397918777</v>
      </c>
      <c r="AL5" s="52">
        <v>2479</v>
      </c>
      <c r="AM5" s="52">
        <v>3384</v>
      </c>
      <c r="AN5" s="52">
        <v>3086</v>
      </c>
      <c r="AO5" s="52">
        <v>3001</v>
      </c>
      <c r="AP5" s="52">
        <f t="shared" si="17"/>
        <v>11950</v>
      </c>
      <c r="AQ5" s="57">
        <f t="shared" si="18"/>
        <v>0.55023482825306202</v>
      </c>
      <c r="AR5" s="58">
        <f t="shared" si="19"/>
        <v>0.79901464223224983</v>
      </c>
    </row>
    <row r="6" spans="1:44" ht="30.75" customHeight="1">
      <c r="A6" s="43">
        <v>8</v>
      </c>
      <c r="B6" s="44" t="s">
        <v>27</v>
      </c>
      <c r="C6" s="44" t="s">
        <v>31</v>
      </c>
      <c r="D6" s="76">
        <v>46164</v>
      </c>
      <c r="E6" s="45">
        <v>431</v>
      </c>
      <c r="F6" s="46">
        <v>431</v>
      </c>
      <c r="G6" s="47">
        <f t="shared" si="1"/>
        <v>1</v>
      </c>
      <c r="H6" s="48">
        <v>44471</v>
      </c>
      <c r="I6" s="49">
        <f t="shared" si="2"/>
        <v>14930</v>
      </c>
      <c r="J6" s="49">
        <f t="shared" si="2"/>
        <v>11524</v>
      </c>
      <c r="K6" s="49">
        <f t="shared" si="2"/>
        <v>6764</v>
      </c>
      <c r="L6" s="49">
        <f t="shared" si="2"/>
        <v>6907</v>
      </c>
      <c r="M6" s="50">
        <f t="shared" si="3"/>
        <v>40125</v>
      </c>
      <c r="N6" s="49">
        <v>1140</v>
      </c>
      <c r="O6" s="51">
        <v>255</v>
      </c>
      <c r="P6" s="51">
        <v>21</v>
      </c>
      <c r="Q6" s="51">
        <v>1</v>
      </c>
      <c r="R6" s="52">
        <f t="shared" si="5"/>
        <v>1417</v>
      </c>
      <c r="S6" s="55">
        <f t="shared" si="6"/>
        <v>3.5314641744548285E-2</v>
      </c>
      <c r="T6" s="51">
        <v>2850</v>
      </c>
      <c r="U6" s="51">
        <v>1092</v>
      </c>
      <c r="V6" s="63">
        <v>125</v>
      </c>
      <c r="W6" s="63">
        <v>57</v>
      </c>
      <c r="X6" s="54">
        <f t="shared" si="8"/>
        <v>4124</v>
      </c>
      <c r="Y6" s="55">
        <f t="shared" si="9"/>
        <v>0.10277881619937694</v>
      </c>
      <c r="Z6" s="51">
        <v>4890</v>
      </c>
      <c r="AA6" s="51">
        <v>2390</v>
      </c>
      <c r="AB6" s="63">
        <v>610</v>
      </c>
      <c r="AC6" s="63">
        <v>358</v>
      </c>
      <c r="AD6" s="54">
        <f t="shared" si="11"/>
        <v>8248</v>
      </c>
      <c r="AE6" s="55">
        <f t="shared" si="12"/>
        <v>0.20555763239875388</v>
      </c>
      <c r="AF6" s="51">
        <v>3649</v>
      </c>
      <c r="AG6" s="51">
        <v>3682</v>
      </c>
      <c r="AH6" s="51">
        <v>2227</v>
      </c>
      <c r="AI6" s="51">
        <v>1518</v>
      </c>
      <c r="AJ6" s="52">
        <f t="shared" si="14"/>
        <v>11076</v>
      </c>
      <c r="AK6" s="56">
        <f t="shared" si="15"/>
        <v>0.27603738317757009</v>
      </c>
      <c r="AL6" s="52">
        <v>2401</v>
      </c>
      <c r="AM6" s="52">
        <v>4105</v>
      </c>
      <c r="AN6" s="52">
        <v>3781</v>
      </c>
      <c r="AO6" s="52">
        <v>4973</v>
      </c>
      <c r="AP6" s="52">
        <f t="shared" si="17"/>
        <v>15260</v>
      </c>
      <c r="AQ6" s="57">
        <f t="shared" si="18"/>
        <v>0.38031152647975081</v>
      </c>
      <c r="AR6" s="58">
        <f t="shared" si="19"/>
        <v>0.65634890965732096</v>
      </c>
    </row>
    <row r="7" spans="1:44" ht="30.75" customHeight="1">
      <c r="A7" s="43">
        <v>9</v>
      </c>
      <c r="B7" s="44" t="s">
        <v>27</v>
      </c>
      <c r="C7" s="44" t="s">
        <v>32</v>
      </c>
      <c r="D7" s="76">
        <v>46164</v>
      </c>
      <c r="E7" s="45">
        <v>279</v>
      </c>
      <c r="F7" s="46">
        <v>277</v>
      </c>
      <c r="G7" s="47">
        <f t="shared" si="1"/>
        <v>0.99283154121863804</v>
      </c>
      <c r="H7" s="48">
        <v>28020</v>
      </c>
      <c r="I7" s="49">
        <f t="shared" si="2"/>
        <v>6682</v>
      </c>
      <c r="J7" s="49">
        <f t="shared" si="2"/>
        <v>5104</v>
      </c>
      <c r="K7" s="49">
        <f t="shared" si="2"/>
        <v>3607</v>
      </c>
      <c r="L7" s="49">
        <f t="shared" si="2"/>
        <v>3281</v>
      </c>
      <c r="M7" s="50">
        <f t="shared" si="3"/>
        <v>18674</v>
      </c>
      <c r="N7" s="49">
        <v>521</v>
      </c>
      <c r="O7" s="51">
        <v>76</v>
      </c>
      <c r="P7" s="51">
        <v>22</v>
      </c>
      <c r="Q7" s="51">
        <v>10</v>
      </c>
      <c r="R7" s="52">
        <f t="shared" si="5"/>
        <v>629</v>
      </c>
      <c r="S7" s="55">
        <f t="shared" si="6"/>
        <v>3.3683195887329979E-2</v>
      </c>
      <c r="T7" s="63">
        <v>824</v>
      </c>
      <c r="U7" s="63">
        <v>130</v>
      </c>
      <c r="V7" s="63">
        <v>42</v>
      </c>
      <c r="W7" s="63">
        <v>33</v>
      </c>
      <c r="X7" s="54">
        <f t="shared" si="8"/>
        <v>1029</v>
      </c>
      <c r="Y7" s="55">
        <f t="shared" si="9"/>
        <v>5.5103352254471459E-2</v>
      </c>
      <c r="Z7" s="51">
        <v>1620</v>
      </c>
      <c r="AA7" s="63">
        <v>618</v>
      </c>
      <c r="AB7" s="63">
        <v>115</v>
      </c>
      <c r="AC7" s="63">
        <v>57</v>
      </c>
      <c r="AD7" s="54">
        <f t="shared" si="11"/>
        <v>2410</v>
      </c>
      <c r="AE7" s="55">
        <f t="shared" si="12"/>
        <v>0.12905644211202741</v>
      </c>
      <c r="AF7" s="51">
        <v>1979</v>
      </c>
      <c r="AG7" s="51">
        <v>1642</v>
      </c>
      <c r="AH7" s="51">
        <v>1067</v>
      </c>
      <c r="AI7" s="63">
        <v>574</v>
      </c>
      <c r="AJ7" s="52">
        <f t="shared" si="14"/>
        <v>5262</v>
      </c>
      <c r="AK7" s="56">
        <f t="shared" si="15"/>
        <v>0.28178215700974618</v>
      </c>
      <c r="AL7" s="52">
        <v>1738</v>
      </c>
      <c r="AM7" s="52">
        <v>2638</v>
      </c>
      <c r="AN7" s="52">
        <v>2361</v>
      </c>
      <c r="AO7" s="52">
        <v>2607</v>
      </c>
      <c r="AP7" s="52">
        <f t="shared" si="17"/>
        <v>9344</v>
      </c>
      <c r="AQ7" s="57">
        <f t="shared" si="18"/>
        <v>0.50037485273642501</v>
      </c>
      <c r="AR7" s="58">
        <f t="shared" si="19"/>
        <v>0.78215700974617119</v>
      </c>
    </row>
    <row r="8" spans="1:44" ht="30.75" customHeight="1">
      <c r="A8" s="43">
        <v>10</v>
      </c>
      <c r="B8" s="44" t="s">
        <v>27</v>
      </c>
      <c r="C8" s="44" t="s">
        <v>33</v>
      </c>
      <c r="D8" s="76">
        <v>46164</v>
      </c>
      <c r="E8" s="45">
        <v>24</v>
      </c>
      <c r="F8" s="46">
        <v>24</v>
      </c>
      <c r="G8" s="47">
        <f t="shared" si="1"/>
        <v>1</v>
      </c>
      <c r="H8" s="48">
        <v>12118</v>
      </c>
      <c r="I8" s="49">
        <f t="shared" si="2"/>
        <v>2845</v>
      </c>
      <c r="J8" s="49">
        <f t="shared" si="2"/>
        <v>2828</v>
      </c>
      <c r="K8" s="49">
        <f t="shared" si="2"/>
        <v>2725</v>
      </c>
      <c r="L8" s="49">
        <f t="shared" si="2"/>
        <v>2902</v>
      </c>
      <c r="M8" s="50">
        <f t="shared" si="3"/>
        <v>11300</v>
      </c>
      <c r="N8" s="49">
        <v>250</v>
      </c>
      <c r="O8" s="51">
        <v>114</v>
      </c>
      <c r="P8" s="51">
        <v>56</v>
      </c>
      <c r="Q8" s="51">
        <v>9</v>
      </c>
      <c r="R8" s="52">
        <f t="shared" si="5"/>
        <v>429</v>
      </c>
      <c r="S8" s="55">
        <f t="shared" si="6"/>
        <v>3.7964601769911503E-2</v>
      </c>
      <c r="T8" s="63">
        <v>551</v>
      </c>
      <c r="U8" s="63">
        <v>291</v>
      </c>
      <c r="V8" s="63">
        <v>131</v>
      </c>
      <c r="W8" s="63">
        <v>21</v>
      </c>
      <c r="X8" s="54">
        <f t="shared" si="8"/>
        <v>994</v>
      </c>
      <c r="Y8" s="55">
        <f t="shared" si="9"/>
        <v>8.7964601769911499E-2</v>
      </c>
      <c r="Z8" s="63">
        <v>775</v>
      </c>
      <c r="AA8" s="63">
        <v>499</v>
      </c>
      <c r="AB8" s="63">
        <v>314</v>
      </c>
      <c r="AC8" s="63">
        <v>143</v>
      </c>
      <c r="AD8" s="54">
        <f t="shared" si="11"/>
        <v>1731</v>
      </c>
      <c r="AE8" s="55">
        <f t="shared" si="12"/>
        <v>0.15318584070796459</v>
      </c>
      <c r="AF8" s="63">
        <v>733</v>
      </c>
      <c r="AG8" s="63">
        <v>741</v>
      </c>
      <c r="AH8" s="63">
        <v>602</v>
      </c>
      <c r="AI8" s="63">
        <v>503</v>
      </c>
      <c r="AJ8" s="52">
        <f t="shared" si="14"/>
        <v>2579</v>
      </c>
      <c r="AK8" s="56">
        <f t="shared" si="15"/>
        <v>0.22823008849557522</v>
      </c>
      <c r="AL8" s="64">
        <v>536</v>
      </c>
      <c r="AM8" s="52">
        <v>1183</v>
      </c>
      <c r="AN8" s="52">
        <v>1622</v>
      </c>
      <c r="AO8" s="52">
        <v>2226</v>
      </c>
      <c r="AP8" s="52">
        <f t="shared" si="17"/>
        <v>5567</v>
      </c>
      <c r="AQ8" s="57">
        <f t="shared" si="18"/>
        <v>0.49265486725663715</v>
      </c>
      <c r="AR8" s="58">
        <f t="shared" si="19"/>
        <v>0.72088495575221234</v>
      </c>
    </row>
    <row r="9" spans="1:44" ht="30.75" customHeight="1">
      <c r="A9" s="43">
        <v>11</v>
      </c>
      <c r="B9" s="44" t="s">
        <v>27</v>
      </c>
      <c r="C9" s="44" t="s">
        <v>34</v>
      </c>
      <c r="D9" s="76">
        <v>46164</v>
      </c>
      <c r="E9" s="45">
        <v>310</v>
      </c>
      <c r="F9" s="46">
        <v>304</v>
      </c>
      <c r="G9" s="47">
        <f t="shared" si="1"/>
        <v>0.98064516129032253</v>
      </c>
      <c r="H9" s="48">
        <v>29599</v>
      </c>
      <c r="I9" s="49">
        <f t="shared" si="2"/>
        <v>8759</v>
      </c>
      <c r="J9" s="49">
        <f t="shared" si="2"/>
        <v>6802</v>
      </c>
      <c r="K9" s="49">
        <f t="shared" si="2"/>
        <v>4814</v>
      </c>
      <c r="L9" s="49">
        <f t="shared" si="2"/>
        <v>4341</v>
      </c>
      <c r="M9" s="50">
        <f t="shared" si="3"/>
        <v>24716</v>
      </c>
      <c r="N9" s="49">
        <v>529</v>
      </c>
      <c r="O9" s="51">
        <v>112</v>
      </c>
      <c r="P9" s="51">
        <v>8</v>
      </c>
      <c r="Q9" s="51">
        <v>1</v>
      </c>
      <c r="R9" s="52">
        <f t="shared" si="5"/>
        <v>650</v>
      </c>
      <c r="S9" s="55">
        <f t="shared" si="6"/>
        <v>2.6298753843664022E-2</v>
      </c>
      <c r="T9" s="51">
        <v>1711</v>
      </c>
      <c r="U9" s="63">
        <v>438</v>
      </c>
      <c r="V9" s="63">
        <v>97</v>
      </c>
      <c r="W9" s="63">
        <v>39</v>
      </c>
      <c r="X9" s="54">
        <f t="shared" si="8"/>
        <v>2285</v>
      </c>
      <c r="Y9" s="55">
        <f t="shared" si="9"/>
        <v>9.245023466580353E-2</v>
      </c>
      <c r="Z9" s="51">
        <v>2724</v>
      </c>
      <c r="AA9" s="51">
        <v>1393</v>
      </c>
      <c r="AB9" s="63">
        <v>515</v>
      </c>
      <c r="AC9" s="63">
        <v>229</v>
      </c>
      <c r="AD9" s="54">
        <f t="shared" si="11"/>
        <v>4861</v>
      </c>
      <c r="AE9" s="55">
        <f t="shared" si="12"/>
        <v>0.19667421912930894</v>
      </c>
      <c r="AF9" s="51">
        <v>2223</v>
      </c>
      <c r="AG9" s="51">
        <v>2125</v>
      </c>
      <c r="AH9" s="51">
        <v>1404</v>
      </c>
      <c r="AI9" s="63">
        <v>874</v>
      </c>
      <c r="AJ9" s="52">
        <f t="shared" si="14"/>
        <v>6626</v>
      </c>
      <c r="AK9" s="56">
        <f t="shared" si="15"/>
        <v>0.26808545072018125</v>
      </c>
      <c r="AL9" s="52">
        <v>1572</v>
      </c>
      <c r="AM9" s="52">
        <v>2734</v>
      </c>
      <c r="AN9" s="52">
        <v>2790</v>
      </c>
      <c r="AO9" s="52">
        <v>3198</v>
      </c>
      <c r="AP9" s="52">
        <f t="shared" si="17"/>
        <v>10294</v>
      </c>
      <c r="AQ9" s="57">
        <f t="shared" si="18"/>
        <v>0.41649134164104223</v>
      </c>
      <c r="AR9" s="58">
        <f t="shared" si="19"/>
        <v>0.68457679236122349</v>
      </c>
    </row>
    <row r="10" spans="1:44" ht="30.75" customHeight="1">
      <c r="A10" s="43">
        <v>12</v>
      </c>
      <c r="B10" s="44" t="s">
        <v>27</v>
      </c>
      <c r="C10" s="44" t="s">
        <v>35</v>
      </c>
      <c r="D10" s="76">
        <v>46164</v>
      </c>
      <c r="E10" s="45">
        <v>247</v>
      </c>
      <c r="F10" s="46">
        <v>246</v>
      </c>
      <c r="G10" s="47">
        <f t="shared" si="1"/>
        <v>0.99595141700404854</v>
      </c>
      <c r="H10" s="48">
        <v>19818</v>
      </c>
      <c r="I10" s="49">
        <f t="shared" si="2"/>
        <v>7057</v>
      </c>
      <c r="J10" s="49">
        <f t="shared" si="2"/>
        <v>5456</v>
      </c>
      <c r="K10" s="49">
        <f t="shared" si="2"/>
        <v>3338</v>
      </c>
      <c r="L10" s="49">
        <f t="shared" si="2"/>
        <v>2427</v>
      </c>
      <c r="M10" s="50">
        <f t="shared" si="3"/>
        <v>18278</v>
      </c>
      <c r="N10" s="49">
        <v>379</v>
      </c>
      <c r="O10" s="51">
        <v>113</v>
      </c>
      <c r="P10" s="51">
        <v>18</v>
      </c>
      <c r="Q10" s="51">
        <v>5</v>
      </c>
      <c r="R10" s="52">
        <f t="shared" si="5"/>
        <v>515</v>
      </c>
      <c r="S10" s="55">
        <f t="shared" si="6"/>
        <v>2.8175949228580806E-2</v>
      </c>
      <c r="T10" s="51">
        <v>1175</v>
      </c>
      <c r="U10" s="63">
        <v>373</v>
      </c>
      <c r="V10" s="63">
        <v>46</v>
      </c>
      <c r="W10" s="63">
        <v>20</v>
      </c>
      <c r="X10" s="54">
        <f t="shared" si="8"/>
        <v>1614</v>
      </c>
      <c r="Y10" s="55">
        <f t="shared" si="9"/>
        <v>8.8302877776561983E-2</v>
      </c>
      <c r="Z10" s="51">
        <v>1712</v>
      </c>
      <c r="AA10" s="63">
        <v>844</v>
      </c>
      <c r="AB10" s="63">
        <v>239</v>
      </c>
      <c r="AC10" s="63">
        <v>43</v>
      </c>
      <c r="AD10" s="54">
        <f t="shared" si="11"/>
        <v>2838</v>
      </c>
      <c r="AE10" s="55">
        <f t="shared" si="12"/>
        <v>0.15526862895283947</v>
      </c>
      <c r="AF10" s="51">
        <v>1956</v>
      </c>
      <c r="AG10" s="51">
        <v>1226</v>
      </c>
      <c r="AH10" s="63">
        <v>630</v>
      </c>
      <c r="AI10" s="63">
        <v>265</v>
      </c>
      <c r="AJ10" s="52">
        <f t="shared" si="14"/>
        <v>4077</v>
      </c>
      <c r="AK10" s="56">
        <f t="shared" si="15"/>
        <v>0.22305503884451253</v>
      </c>
      <c r="AL10" s="52">
        <v>1835</v>
      </c>
      <c r="AM10" s="52">
        <v>2900</v>
      </c>
      <c r="AN10" s="52">
        <v>2405</v>
      </c>
      <c r="AO10" s="52">
        <v>2094</v>
      </c>
      <c r="AP10" s="52">
        <f t="shared" si="17"/>
        <v>9234</v>
      </c>
      <c r="AQ10" s="57">
        <f t="shared" si="18"/>
        <v>0.50519750519750517</v>
      </c>
      <c r="AR10" s="58">
        <f t="shared" si="19"/>
        <v>0.72825254404201767</v>
      </c>
    </row>
    <row r="11" spans="1:44" ht="30.75" customHeight="1">
      <c r="A11" s="28" t="s">
        <v>36</v>
      </c>
      <c r="B11" s="5"/>
      <c r="C11" s="29"/>
      <c r="D11" s="77"/>
      <c r="E11" s="78">
        <f>SUM(E12:E14)</f>
        <v>526</v>
      </c>
      <c r="F11" s="78">
        <f>SUM(F12:F14)</f>
        <v>468</v>
      </c>
      <c r="G11" s="31">
        <f t="shared" ref="G11:G14" si="20">IFERROR(F11/E11,"")</f>
        <v>0.88973384030418246</v>
      </c>
      <c r="H11" s="32"/>
      <c r="I11" s="33">
        <f t="shared" si="2"/>
        <v>14705</v>
      </c>
      <c r="J11" s="33">
        <f t="shared" si="2"/>
        <v>10997</v>
      </c>
      <c r="K11" s="33">
        <f t="shared" si="2"/>
        <v>7280</v>
      </c>
      <c r="L11" s="33">
        <f t="shared" si="2"/>
        <v>5445</v>
      </c>
      <c r="M11" s="34">
        <f t="shared" si="3"/>
        <v>38427</v>
      </c>
      <c r="N11" s="33">
        <f>SUM(N12:N14)</f>
        <v>531</v>
      </c>
      <c r="O11" s="33">
        <f t="shared" ref="O11:Q11" si="21">SUM(O12:O14)</f>
        <v>98</v>
      </c>
      <c r="P11" s="33">
        <f t="shared" si="21"/>
        <v>13</v>
      </c>
      <c r="Q11" s="33">
        <f t="shared" si="21"/>
        <v>4</v>
      </c>
      <c r="R11" s="36">
        <f t="shared" si="5"/>
        <v>646</v>
      </c>
      <c r="S11" s="39">
        <f t="shared" si="6"/>
        <v>1.6811096364535354E-2</v>
      </c>
      <c r="T11" s="33">
        <f>SUM(T12:T14)</f>
        <v>1279</v>
      </c>
      <c r="U11" s="33">
        <f t="shared" ref="U11:W11" si="22">SUM(U12:U14)</f>
        <v>385</v>
      </c>
      <c r="V11" s="33">
        <f t="shared" si="22"/>
        <v>62</v>
      </c>
      <c r="W11" s="33">
        <f t="shared" si="22"/>
        <v>23</v>
      </c>
      <c r="X11" s="38">
        <f t="shared" si="8"/>
        <v>1749</v>
      </c>
      <c r="Y11" s="39">
        <f t="shared" si="9"/>
        <v>4.551487235537513E-2</v>
      </c>
      <c r="Z11" s="33">
        <f>SUM(Z12:Z14)</f>
        <v>2628</v>
      </c>
      <c r="AA11" s="33">
        <f t="shared" ref="AA11:AC11" si="23">SUM(AA12:AA14)</f>
        <v>1157</v>
      </c>
      <c r="AB11" s="33">
        <f t="shared" si="23"/>
        <v>345</v>
      </c>
      <c r="AC11" s="33">
        <f t="shared" si="23"/>
        <v>87</v>
      </c>
      <c r="AD11" s="38">
        <f t="shared" si="11"/>
        <v>4217</v>
      </c>
      <c r="AE11" s="39">
        <f t="shared" si="12"/>
        <v>0.10974054701121608</v>
      </c>
      <c r="AF11" s="33">
        <f>SUM(AF12:AF14)</f>
        <v>3689</v>
      </c>
      <c r="AG11" s="33">
        <f t="shared" ref="AG11:AI11" si="24">SUM(AG12:AG14)</f>
        <v>2213</v>
      </c>
      <c r="AH11" s="33">
        <f t="shared" si="24"/>
        <v>1188</v>
      </c>
      <c r="AI11" s="33">
        <f t="shared" si="24"/>
        <v>472</v>
      </c>
      <c r="AJ11" s="36">
        <f t="shared" si="14"/>
        <v>7562</v>
      </c>
      <c r="AK11" s="40">
        <f t="shared" si="15"/>
        <v>0.19678871626720795</v>
      </c>
      <c r="AL11" s="33">
        <f>SUM(AL12:AL14)</f>
        <v>6578</v>
      </c>
      <c r="AM11" s="33">
        <f t="shared" ref="AM11:AO11" si="25">SUM(AM12:AM14)</f>
        <v>7144</v>
      </c>
      <c r="AN11" s="33">
        <f t="shared" si="25"/>
        <v>5672</v>
      </c>
      <c r="AO11" s="33">
        <f t="shared" si="25"/>
        <v>4859</v>
      </c>
      <c r="AP11" s="36">
        <f t="shared" si="17"/>
        <v>24253</v>
      </c>
      <c r="AQ11" s="41">
        <f t="shared" si="18"/>
        <v>0.63114476800166552</v>
      </c>
      <c r="AR11" s="42">
        <f t="shared" si="19"/>
        <v>0.82793348426887348</v>
      </c>
    </row>
    <row r="12" spans="1:44" ht="30.75" customHeight="1">
      <c r="A12" s="43">
        <v>13</v>
      </c>
      <c r="B12" s="44" t="s">
        <v>37</v>
      </c>
      <c r="C12" s="44" t="s">
        <v>38</v>
      </c>
      <c r="D12" s="76">
        <v>46164</v>
      </c>
      <c r="E12" s="79">
        <v>250</v>
      </c>
      <c r="F12" s="46">
        <f>250-8</f>
        <v>242</v>
      </c>
      <c r="G12" s="47">
        <f t="shared" si="20"/>
        <v>0.96799999999999997</v>
      </c>
      <c r="H12" s="48">
        <v>21640</v>
      </c>
      <c r="I12" s="49">
        <f t="shared" si="2"/>
        <v>7508</v>
      </c>
      <c r="J12" s="49">
        <f t="shared" si="2"/>
        <v>5581</v>
      </c>
      <c r="K12" s="49">
        <f t="shared" si="2"/>
        <v>3812</v>
      </c>
      <c r="L12" s="49">
        <f t="shared" si="2"/>
        <v>2616</v>
      </c>
      <c r="M12" s="50">
        <f t="shared" si="3"/>
        <v>19517</v>
      </c>
      <c r="N12" s="49">
        <v>437</v>
      </c>
      <c r="O12" s="51">
        <v>85</v>
      </c>
      <c r="P12" s="51">
        <v>9</v>
      </c>
      <c r="Q12" s="51">
        <v>0</v>
      </c>
      <c r="R12" s="52">
        <f t="shared" si="5"/>
        <v>531</v>
      </c>
      <c r="S12" s="55">
        <f t="shared" si="6"/>
        <v>2.7207050263872521E-2</v>
      </c>
      <c r="T12" s="51">
        <v>840</v>
      </c>
      <c r="U12" s="63">
        <v>253</v>
      </c>
      <c r="V12" s="63">
        <v>33</v>
      </c>
      <c r="W12" s="63">
        <v>7</v>
      </c>
      <c r="X12" s="54">
        <f t="shared" si="8"/>
        <v>1133</v>
      </c>
      <c r="Y12" s="55">
        <f t="shared" si="9"/>
        <v>5.8051954706153611E-2</v>
      </c>
      <c r="Z12" s="51">
        <v>1602</v>
      </c>
      <c r="AA12" s="63">
        <v>713</v>
      </c>
      <c r="AB12" s="63">
        <v>230</v>
      </c>
      <c r="AC12" s="63">
        <v>55</v>
      </c>
      <c r="AD12" s="54">
        <f t="shared" si="11"/>
        <v>2600</v>
      </c>
      <c r="AE12" s="55">
        <f t="shared" si="12"/>
        <v>0.13321719526566583</v>
      </c>
      <c r="AF12" s="63">
        <v>1894</v>
      </c>
      <c r="AG12" s="63">
        <v>1212</v>
      </c>
      <c r="AH12" s="63">
        <v>736</v>
      </c>
      <c r="AI12" s="63">
        <v>329</v>
      </c>
      <c r="AJ12" s="52">
        <f t="shared" si="14"/>
        <v>4171</v>
      </c>
      <c r="AK12" s="56">
        <f t="shared" si="15"/>
        <v>0.21371112363580469</v>
      </c>
      <c r="AL12" s="63">
        <v>2735</v>
      </c>
      <c r="AM12" s="63">
        <v>3318</v>
      </c>
      <c r="AN12" s="63">
        <v>2804</v>
      </c>
      <c r="AO12" s="63">
        <v>2225</v>
      </c>
      <c r="AP12" s="52">
        <f t="shared" si="17"/>
        <v>11082</v>
      </c>
      <c r="AQ12" s="57">
        <f t="shared" si="18"/>
        <v>0.56781267612850339</v>
      </c>
      <c r="AR12" s="58">
        <f t="shared" si="19"/>
        <v>0.78152379976430808</v>
      </c>
    </row>
    <row r="13" spans="1:44" ht="30.75" customHeight="1">
      <c r="A13" s="43">
        <v>15</v>
      </c>
      <c r="B13" s="44" t="s">
        <v>37</v>
      </c>
      <c r="C13" s="44" t="s">
        <v>39</v>
      </c>
      <c r="D13" s="76">
        <v>46164</v>
      </c>
      <c r="E13" s="45">
        <v>50</v>
      </c>
      <c r="F13" s="46">
        <f>+E13</f>
        <v>50</v>
      </c>
      <c r="G13" s="47">
        <f t="shared" si="20"/>
        <v>1</v>
      </c>
      <c r="H13" s="48">
        <v>3648</v>
      </c>
      <c r="I13" s="49">
        <f t="shared" ref="I13:L28" si="26">N13+T13+Z13+AF13+AL13</f>
        <v>1171</v>
      </c>
      <c r="J13" s="49">
        <f t="shared" si="26"/>
        <v>789</v>
      </c>
      <c r="K13" s="49">
        <f t="shared" si="26"/>
        <v>567</v>
      </c>
      <c r="L13" s="49">
        <f t="shared" si="26"/>
        <v>748</v>
      </c>
      <c r="M13" s="50">
        <f t="shared" si="3"/>
        <v>3275</v>
      </c>
      <c r="N13" s="49">
        <v>0</v>
      </c>
      <c r="O13" s="51">
        <v>3</v>
      </c>
      <c r="P13" s="51">
        <v>3</v>
      </c>
      <c r="Q13" s="51">
        <v>3</v>
      </c>
      <c r="R13" s="52">
        <f t="shared" si="5"/>
        <v>9</v>
      </c>
      <c r="S13" s="55">
        <f t="shared" si="6"/>
        <v>2.7480916030534351E-3</v>
      </c>
      <c r="T13" s="51">
        <v>39</v>
      </c>
      <c r="U13" s="63">
        <v>43</v>
      </c>
      <c r="V13" s="63">
        <v>19</v>
      </c>
      <c r="W13" s="63">
        <v>13</v>
      </c>
      <c r="X13" s="54">
        <f t="shared" si="8"/>
        <v>114</v>
      </c>
      <c r="Y13" s="55">
        <f t="shared" si="9"/>
        <v>3.4809160305343513E-2</v>
      </c>
      <c r="Z13" s="51">
        <v>128</v>
      </c>
      <c r="AA13" s="63">
        <v>29</v>
      </c>
      <c r="AB13" s="63">
        <v>28</v>
      </c>
      <c r="AC13" s="63">
        <v>25</v>
      </c>
      <c r="AD13" s="54">
        <f t="shared" si="11"/>
        <v>210</v>
      </c>
      <c r="AE13" s="55">
        <f t="shared" si="12"/>
        <v>6.4122137404580157E-2</v>
      </c>
      <c r="AF13" s="63">
        <v>243</v>
      </c>
      <c r="AG13" s="63">
        <v>121</v>
      </c>
      <c r="AH13" s="63">
        <v>66</v>
      </c>
      <c r="AI13" s="63">
        <v>37</v>
      </c>
      <c r="AJ13" s="52">
        <f t="shared" si="14"/>
        <v>467</v>
      </c>
      <c r="AK13" s="56">
        <f t="shared" si="15"/>
        <v>0.14259541984732824</v>
      </c>
      <c r="AL13" s="63">
        <v>761</v>
      </c>
      <c r="AM13" s="63">
        <v>593</v>
      </c>
      <c r="AN13" s="63">
        <v>451</v>
      </c>
      <c r="AO13" s="63">
        <v>670</v>
      </c>
      <c r="AP13" s="52">
        <f t="shared" si="17"/>
        <v>2475</v>
      </c>
      <c r="AQ13" s="57">
        <f t="shared" si="18"/>
        <v>0.75572519083969469</v>
      </c>
      <c r="AR13" s="58">
        <f t="shared" si="19"/>
        <v>0.89832061068702296</v>
      </c>
    </row>
    <row r="14" spans="1:44" ht="30.75" customHeight="1">
      <c r="A14" s="43">
        <v>16</v>
      </c>
      <c r="B14" s="44" t="s">
        <v>37</v>
      </c>
      <c r="C14" s="44" t="s">
        <v>40</v>
      </c>
      <c r="D14" s="76">
        <v>46164</v>
      </c>
      <c r="E14" s="45">
        <v>226</v>
      </c>
      <c r="F14" s="46">
        <f>+E14-F13</f>
        <v>176</v>
      </c>
      <c r="G14" s="47">
        <f t="shared" si="20"/>
        <v>0.77876106194690264</v>
      </c>
      <c r="H14" s="48">
        <v>17060</v>
      </c>
      <c r="I14" s="49">
        <f t="shared" si="26"/>
        <v>6026</v>
      </c>
      <c r="J14" s="49">
        <f t="shared" si="26"/>
        <v>4627</v>
      </c>
      <c r="K14" s="49">
        <f t="shared" si="26"/>
        <v>2901</v>
      </c>
      <c r="L14" s="49">
        <f t="shared" si="26"/>
        <v>2081</v>
      </c>
      <c r="M14" s="50">
        <f t="shared" si="3"/>
        <v>15635</v>
      </c>
      <c r="N14" s="49">
        <v>94</v>
      </c>
      <c r="O14" s="51">
        <v>10</v>
      </c>
      <c r="P14" s="51">
        <v>1</v>
      </c>
      <c r="Q14" s="51">
        <v>1</v>
      </c>
      <c r="R14" s="52">
        <f t="shared" si="5"/>
        <v>106</v>
      </c>
      <c r="S14" s="55">
        <f t="shared" si="6"/>
        <v>6.7796610169491523E-3</v>
      </c>
      <c r="T14" s="51">
        <v>400</v>
      </c>
      <c r="U14" s="63">
        <v>89</v>
      </c>
      <c r="V14" s="63">
        <v>10</v>
      </c>
      <c r="W14" s="63">
        <v>3</v>
      </c>
      <c r="X14" s="54">
        <f t="shared" si="8"/>
        <v>502</v>
      </c>
      <c r="Y14" s="55">
        <f t="shared" si="9"/>
        <v>3.2107451231212024E-2</v>
      </c>
      <c r="Z14" s="51">
        <v>898</v>
      </c>
      <c r="AA14" s="63">
        <v>415</v>
      </c>
      <c r="AB14" s="63">
        <v>87</v>
      </c>
      <c r="AC14" s="63">
        <v>7</v>
      </c>
      <c r="AD14" s="54">
        <f t="shared" si="11"/>
        <v>1407</v>
      </c>
      <c r="AE14" s="55">
        <f t="shared" si="12"/>
        <v>8.9990406140070353E-2</v>
      </c>
      <c r="AF14" s="63">
        <v>1552</v>
      </c>
      <c r="AG14" s="63">
        <v>880</v>
      </c>
      <c r="AH14" s="63">
        <v>386</v>
      </c>
      <c r="AI14" s="63">
        <v>106</v>
      </c>
      <c r="AJ14" s="52">
        <f t="shared" si="14"/>
        <v>2924</v>
      </c>
      <c r="AK14" s="56">
        <f t="shared" si="15"/>
        <v>0.1870163095618804</v>
      </c>
      <c r="AL14" s="63">
        <v>3082</v>
      </c>
      <c r="AM14" s="63">
        <v>3233</v>
      </c>
      <c r="AN14" s="63">
        <v>2417</v>
      </c>
      <c r="AO14" s="63">
        <v>1964</v>
      </c>
      <c r="AP14" s="52">
        <f t="shared" si="17"/>
        <v>10696</v>
      </c>
      <c r="AQ14" s="57">
        <f t="shared" si="18"/>
        <v>0.68410617204988811</v>
      </c>
      <c r="AR14" s="58">
        <f t="shared" si="19"/>
        <v>0.87112248161176853</v>
      </c>
    </row>
    <row r="15" spans="1:44" ht="30.75" customHeight="1">
      <c r="A15" s="28" t="s">
        <v>41</v>
      </c>
      <c r="B15" s="5"/>
      <c r="C15" s="29"/>
      <c r="D15" s="30"/>
      <c r="E15" s="30">
        <f t="shared" ref="E15:F15" si="27">E16+E17+E18+E19+E20+E21+E22</f>
        <v>1139</v>
      </c>
      <c r="F15" s="30">
        <f t="shared" si="27"/>
        <v>1136</v>
      </c>
      <c r="G15" s="31">
        <f t="shared" si="1"/>
        <v>0.99736611062335379</v>
      </c>
      <c r="H15" s="32"/>
      <c r="I15" s="33">
        <f t="shared" si="26"/>
        <v>41449</v>
      </c>
      <c r="J15" s="33">
        <f t="shared" si="26"/>
        <v>38464</v>
      </c>
      <c r="K15" s="33">
        <f t="shared" si="26"/>
        <v>31355</v>
      </c>
      <c r="L15" s="33">
        <f t="shared" si="26"/>
        <v>24376</v>
      </c>
      <c r="M15" s="34">
        <f t="shared" si="3"/>
        <v>135644</v>
      </c>
      <c r="N15" s="33">
        <f>+SUM(N16:N22)</f>
        <v>2006</v>
      </c>
      <c r="O15" s="35">
        <f t="shared" ref="O15:Q15" si="28">+SUM(O16:O22)</f>
        <v>472</v>
      </c>
      <c r="P15" s="35">
        <f t="shared" si="28"/>
        <v>64</v>
      </c>
      <c r="Q15" s="35">
        <f t="shared" si="28"/>
        <v>10</v>
      </c>
      <c r="R15" s="36">
        <f t="shared" si="5"/>
        <v>2552</v>
      </c>
      <c r="S15" s="39">
        <f t="shared" si="6"/>
        <v>1.8813954174161776E-2</v>
      </c>
      <c r="T15" s="60">
        <f>+SUM(T16:T22)</f>
        <v>6463</v>
      </c>
      <c r="U15" s="60">
        <f t="shared" ref="U15:W15" si="29">+SUM(U16:U22)</f>
        <v>2008</v>
      </c>
      <c r="V15" s="60">
        <f t="shared" si="29"/>
        <v>343</v>
      </c>
      <c r="W15" s="60">
        <f t="shared" si="29"/>
        <v>50</v>
      </c>
      <c r="X15" s="38">
        <f t="shared" si="8"/>
        <v>8864</v>
      </c>
      <c r="Y15" s="39">
        <f t="shared" si="9"/>
        <v>6.5347527351007045E-2</v>
      </c>
      <c r="Z15" s="60">
        <f>+SUM(Z16:Z22)</f>
        <v>12188</v>
      </c>
      <c r="AA15" s="60">
        <f t="shared" ref="AA15:AC15" si="30">+SUM(AA16:AA22)</f>
        <v>5730</v>
      </c>
      <c r="AB15" s="60">
        <f t="shared" si="30"/>
        <v>1934</v>
      </c>
      <c r="AC15" s="60">
        <f t="shared" si="30"/>
        <v>357</v>
      </c>
      <c r="AD15" s="38">
        <f t="shared" si="11"/>
        <v>20209</v>
      </c>
      <c r="AE15" s="39">
        <f t="shared" si="12"/>
        <v>0.14898557990032732</v>
      </c>
      <c r="AF15" s="60">
        <f>+SUM(AF16:AF22)</f>
        <v>12024</v>
      </c>
      <c r="AG15" s="60">
        <f t="shared" ref="AG15:AI15" si="31">+SUM(AG16:AG22)</f>
        <v>10542</v>
      </c>
      <c r="AH15" s="60">
        <f t="shared" si="31"/>
        <v>7789</v>
      </c>
      <c r="AI15" s="60">
        <f t="shared" si="31"/>
        <v>4104</v>
      </c>
      <c r="AJ15" s="36">
        <f t="shared" si="14"/>
        <v>34459</v>
      </c>
      <c r="AK15" s="40">
        <f t="shared" si="15"/>
        <v>0.25403998702485919</v>
      </c>
      <c r="AL15" s="61">
        <f>+SUM(AL16:AL22)</f>
        <v>8768</v>
      </c>
      <c r="AM15" s="61">
        <f t="shared" ref="AM15:AO15" si="32">+SUM(AM16:AM22)</f>
        <v>19712</v>
      </c>
      <c r="AN15" s="61">
        <f t="shared" si="32"/>
        <v>21225</v>
      </c>
      <c r="AO15" s="61">
        <f t="shared" si="32"/>
        <v>19855</v>
      </c>
      <c r="AP15" s="36">
        <f t="shared" si="17"/>
        <v>69560</v>
      </c>
      <c r="AQ15" s="41">
        <f t="shared" si="18"/>
        <v>0.51281295154964468</v>
      </c>
      <c r="AR15" s="42">
        <f t="shared" si="19"/>
        <v>0.76685293857450387</v>
      </c>
    </row>
    <row r="16" spans="1:44" ht="30.75" customHeight="1">
      <c r="A16" s="43">
        <v>17</v>
      </c>
      <c r="B16" s="44" t="s">
        <v>42</v>
      </c>
      <c r="C16" s="44" t="s">
        <v>43</v>
      </c>
      <c r="D16" s="76">
        <v>46164</v>
      </c>
      <c r="E16" s="65">
        <v>338</v>
      </c>
      <c r="F16" s="65">
        <v>338</v>
      </c>
      <c r="G16" s="47">
        <f t="shared" si="1"/>
        <v>1</v>
      </c>
      <c r="H16" s="48" t="s">
        <v>118</v>
      </c>
      <c r="I16" s="49">
        <f t="shared" si="26"/>
        <v>9362</v>
      </c>
      <c r="J16" s="49">
        <f t="shared" si="26"/>
        <v>8793</v>
      </c>
      <c r="K16" s="49">
        <f t="shared" si="26"/>
        <v>7566</v>
      </c>
      <c r="L16" s="49">
        <f t="shared" si="26"/>
        <v>6020</v>
      </c>
      <c r="M16" s="50">
        <f t="shared" si="3"/>
        <v>31741</v>
      </c>
      <c r="N16" s="66">
        <v>186</v>
      </c>
      <c r="O16" s="66">
        <v>49</v>
      </c>
      <c r="P16" s="66">
        <v>3</v>
      </c>
      <c r="Q16" s="66">
        <v>2</v>
      </c>
      <c r="R16" s="52">
        <f t="shared" si="5"/>
        <v>240</v>
      </c>
      <c r="S16" s="55">
        <f t="shared" si="6"/>
        <v>7.5611984499543176E-3</v>
      </c>
      <c r="T16" s="67">
        <v>1213</v>
      </c>
      <c r="U16" s="69">
        <v>320</v>
      </c>
      <c r="V16" s="69">
        <v>52</v>
      </c>
      <c r="W16" s="69">
        <v>4</v>
      </c>
      <c r="X16" s="54">
        <f t="shared" si="8"/>
        <v>1589</v>
      </c>
      <c r="Y16" s="55">
        <f t="shared" si="9"/>
        <v>5.0061434737405881E-2</v>
      </c>
      <c r="Z16" s="67">
        <v>2960</v>
      </c>
      <c r="AA16" s="69">
        <v>1166</v>
      </c>
      <c r="AB16" s="69">
        <v>393</v>
      </c>
      <c r="AC16" s="69">
        <v>112</v>
      </c>
      <c r="AD16" s="54">
        <f t="shared" si="11"/>
        <v>4631</v>
      </c>
      <c r="AE16" s="55">
        <f t="shared" si="12"/>
        <v>0.14589962509057686</v>
      </c>
      <c r="AF16" s="67">
        <v>2925</v>
      </c>
      <c r="AG16" s="69">
        <v>2395</v>
      </c>
      <c r="AH16" s="69">
        <v>1685</v>
      </c>
      <c r="AI16" s="69">
        <v>1111</v>
      </c>
      <c r="AJ16" s="52">
        <f t="shared" si="14"/>
        <v>8116</v>
      </c>
      <c r="AK16" s="56">
        <f t="shared" si="15"/>
        <v>0.25569452758262184</v>
      </c>
      <c r="AL16" s="70">
        <v>2078</v>
      </c>
      <c r="AM16" s="71">
        <v>4863</v>
      </c>
      <c r="AN16" s="71">
        <v>5433</v>
      </c>
      <c r="AO16" s="71">
        <v>4791</v>
      </c>
      <c r="AP16" s="52">
        <f t="shared" si="17"/>
        <v>17165</v>
      </c>
      <c r="AQ16" s="57">
        <f t="shared" si="18"/>
        <v>0.54078321413944108</v>
      </c>
      <c r="AR16" s="58">
        <f t="shared" si="19"/>
        <v>0.79647774172206298</v>
      </c>
    </row>
    <row r="17" spans="1:44" ht="30.75" customHeight="1">
      <c r="A17" s="43">
        <v>18</v>
      </c>
      <c r="B17" s="44" t="s">
        <v>42</v>
      </c>
      <c r="C17" s="44" t="s">
        <v>45</v>
      </c>
      <c r="D17" s="76">
        <v>46164</v>
      </c>
      <c r="E17" s="65">
        <v>197</v>
      </c>
      <c r="F17" s="65">
        <v>197</v>
      </c>
      <c r="G17" s="47">
        <f t="shared" si="1"/>
        <v>1</v>
      </c>
      <c r="H17" s="48" t="s">
        <v>119</v>
      </c>
      <c r="I17" s="49">
        <f t="shared" si="26"/>
        <v>8140</v>
      </c>
      <c r="J17" s="49">
        <f t="shared" si="26"/>
        <v>7477</v>
      </c>
      <c r="K17" s="49">
        <f t="shared" si="26"/>
        <v>5763</v>
      </c>
      <c r="L17" s="49">
        <f t="shared" si="26"/>
        <v>4075</v>
      </c>
      <c r="M17" s="50">
        <f t="shared" si="3"/>
        <v>25455</v>
      </c>
      <c r="N17" s="66">
        <v>550</v>
      </c>
      <c r="O17" s="66">
        <v>165</v>
      </c>
      <c r="P17" s="66">
        <v>24</v>
      </c>
      <c r="Q17" s="66">
        <v>0</v>
      </c>
      <c r="R17" s="52">
        <f t="shared" si="5"/>
        <v>739</v>
      </c>
      <c r="S17" s="55">
        <f t="shared" si="6"/>
        <v>2.9031624435277941E-2</v>
      </c>
      <c r="T17" s="67">
        <v>1332</v>
      </c>
      <c r="U17" s="69">
        <v>473</v>
      </c>
      <c r="V17" s="69">
        <v>83</v>
      </c>
      <c r="W17" s="69">
        <v>10</v>
      </c>
      <c r="X17" s="54">
        <f t="shared" si="8"/>
        <v>1898</v>
      </c>
      <c r="Y17" s="55">
        <f t="shared" si="9"/>
        <v>7.4562954232960124E-2</v>
      </c>
      <c r="Z17" s="67">
        <v>2176</v>
      </c>
      <c r="AA17" s="69">
        <v>1112</v>
      </c>
      <c r="AB17" s="69">
        <v>387</v>
      </c>
      <c r="AC17" s="69">
        <v>71</v>
      </c>
      <c r="AD17" s="54">
        <f t="shared" si="11"/>
        <v>3746</v>
      </c>
      <c r="AE17" s="55">
        <f t="shared" si="12"/>
        <v>0.14716165782753879</v>
      </c>
      <c r="AF17" s="67">
        <v>2405</v>
      </c>
      <c r="AG17" s="69">
        <v>1976</v>
      </c>
      <c r="AH17" s="69">
        <v>1530</v>
      </c>
      <c r="AI17" s="69">
        <v>877</v>
      </c>
      <c r="AJ17" s="52">
        <f t="shared" si="14"/>
        <v>6788</v>
      </c>
      <c r="AK17" s="56">
        <f t="shared" si="15"/>
        <v>0.26666666666666666</v>
      </c>
      <c r="AL17" s="70">
        <v>1677</v>
      </c>
      <c r="AM17" s="71">
        <v>3751</v>
      </c>
      <c r="AN17" s="71">
        <v>3739</v>
      </c>
      <c r="AO17" s="71">
        <v>3117</v>
      </c>
      <c r="AP17" s="52">
        <f t="shared" si="17"/>
        <v>12284</v>
      </c>
      <c r="AQ17" s="57">
        <f t="shared" si="18"/>
        <v>0.48257709683755645</v>
      </c>
      <c r="AR17" s="58">
        <f t="shared" si="19"/>
        <v>0.74924376350422306</v>
      </c>
    </row>
    <row r="18" spans="1:44" ht="30.75" customHeight="1">
      <c r="A18" s="43">
        <v>19</v>
      </c>
      <c r="B18" s="44" t="s">
        <v>42</v>
      </c>
      <c r="C18" s="44" t="s">
        <v>47</v>
      </c>
      <c r="D18" s="76">
        <v>46164</v>
      </c>
      <c r="E18" s="65">
        <v>33</v>
      </c>
      <c r="F18" s="65">
        <v>33</v>
      </c>
      <c r="G18" s="47">
        <f t="shared" si="1"/>
        <v>1</v>
      </c>
      <c r="H18" s="48" t="s">
        <v>120</v>
      </c>
      <c r="I18" s="49">
        <f t="shared" si="26"/>
        <v>2973</v>
      </c>
      <c r="J18" s="49">
        <f t="shared" si="26"/>
        <v>2899</v>
      </c>
      <c r="K18" s="49">
        <f t="shared" si="26"/>
        <v>2939</v>
      </c>
      <c r="L18" s="49">
        <f t="shared" si="26"/>
        <v>2467</v>
      </c>
      <c r="M18" s="50">
        <f t="shared" si="3"/>
        <v>11278</v>
      </c>
      <c r="N18" s="66">
        <v>210</v>
      </c>
      <c r="O18" s="66">
        <v>56</v>
      </c>
      <c r="P18" s="66">
        <v>11</v>
      </c>
      <c r="Q18" s="66">
        <v>0</v>
      </c>
      <c r="R18" s="52">
        <f t="shared" si="5"/>
        <v>277</v>
      </c>
      <c r="S18" s="55">
        <f t="shared" si="6"/>
        <v>2.4561092392268134E-2</v>
      </c>
      <c r="T18" s="67">
        <v>477</v>
      </c>
      <c r="U18" s="69">
        <v>235</v>
      </c>
      <c r="V18" s="69">
        <v>78</v>
      </c>
      <c r="W18" s="69">
        <v>19</v>
      </c>
      <c r="X18" s="54">
        <f t="shared" si="8"/>
        <v>809</v>
      </c>
      <c r="Y18" s="55">
        <f t="shared" si="9"/>
        <v>7.1732576697996098E-2</v>
      </c>
      <c r="Z18" s="67">
        <v>1012</v>
      </c>
      <c r="AA18" s="69">
        <v>608</v>
      </c>
      <c r="AB18" s="69">
        <v>356</v>
      </c>
      <c r="AC18" s="69">
        <v>81</v>
      </c>
      <c r="AD18" s="54">
        <f t="shared" si="11"/>
        <v>2057</v>
      </c>
      <c r="AE18" s="55">
        <f t="shared" si="12"/>
        <v>0.18239049476857599</v>
      </c>
      <c r="AF18" s="67">
        <v>824</v>
      </c>
      <c r="AG18" s="69">
        <v>820</v>
      </c>
      <c r="AH18" s="69">
        <v>866</v>
      </c>
      <c r="AI18" s="69">
        <v>503</v>
      </c>
      <c r="AJ18" s="52">
        <f t="shared" si="14"/>
        <v>3013</v>
      </c>
      <c r="AK18" s="56">
        <f t="shared" si="15"/>
        <v>0.2671572973931548</v>
      </c>
      <c r="AL18" s="70">
        <v>450</v>
      </c>
      <c r="AM18" s="71">
        <v>1180</v>
      </c>
      <c r="AN18" s="71">
        <v>1628</v>
      </c>
      <c r="AO18" s="71">
        <v>1864</v>
      </c>
      <c r="AP18" s="52">
        <f t="shared" si="17"/>
        <v>5122</v>
      </c>
      <c r="AQ18" s="57">
        <f t="shared" si="18"/>
        <v>0.45415853874800499</v>
      </c>
      <c r="AR18" s="58">
        <f t="shared" si="19"/>
        <v>0.72131583614115979</v>
      </c>
    </row>
    <row r="19" spans="1:44" ht="30.75" customHeight="1">
      <c r="A19" s="43">
        <v>20</v>
      </c>
      <c r="B19" s="44" t="s">
        <v>42</v>
      </c>
      <c r="C19" s="44" t="s">
        <v>48</v>
      </c>
      <c r="D19" s="76">
        <v>46164</v>
      </c>
      <c r="E19" s="65">
        <v>126</v>
      </c>
      <c r="F19" s="65">
        <v>126</v>
      </c>
      <c r="G19" s="47">
        <f t="shared" si="1"/>
        <v>1</v>
      </c>
      <c r="H19" s="48" t="s">
        <v>121</v>
      </c>
      <c r="I19" s="49">
        <f t="shared" si="26"/>
        <v>3926</v>
      </c>
      <c r="J19" s="49">
        <f t="shared" si="26"/>
        <v>3112</v>
      </c>
      <c r="K19" s="49">
        <f t="shared" si="26"/>
        <v>1886</v>
      </c>
      <c r="L19" s="49">
        <f t="shared" si="26"/>
        <v>1336</v>
      </c>
      <c r="M19" s="50">
        <f t="shared" si="3"/>
        <v>10260</v>
      </c>
      <c r="N19" s="66">
        <v>46</v>
      </c>
      <c r="O19" s="66">
        <v>0</v>
      </c>
      <c r="P19" s="66">
        <v>0</v>
      </c>
      <c r="Q19" s="66">
        <v>0</v>
      </c>
      <c r="R19" s="52">
        <f t="shared" si="5"/>
        <v>46</v>
      </c>
      <c r="S19" s="55">
        <f t="shared" si="6"/>
        <v>4.4834307992202725E-3</v>
      </c>
      <c r="T19" s="67">
        <v>361</v>
      </c>
      <c r="U19" s="69">
        <v>108</v>
      </c>
      <c r="V19" s="69">
        <v>5</v>
      </c>
      <c r="W19" s="69">
        <v>0</v>
      </c>
      <c r="X19" s="54">
        <f t="shared" si="8"/>
        <v>474</v>
      </c>
      <c r="Y19" s="55">
        <f t="shared" si="9"/>
        <v>4.6198830409356725E-2</v>
      </c>
      <c r="Z19" s="67">
        <v>1078</v>
      </c>
      <c r="AA19" s="69">
        <v>344</v>
      </c>
      <c r="AB19" s="69">
        <v>39</v>
      </c>
      <c r="AC19" s="69">
        <v>6</v>
      </c>
      <c r="AD19" s="54">
        <f t="shared" si="11"/>
        <v>1467</v>
      </c>
      <c r="AE19" s="55">
        <f t="shared" si="12"/>
        <v>0.14298245614035088</v>
      </c>
      <c r="AF19" s="67">
        <v>1240</v>
      </c>
      <c r="AG19" s="69">
        <v>799</v>
      </c>
      <c r="AH19" s="69">
        <v>446</v>
      </c>
      <c r="AI19" s="69">
        <v>258</v>
      </c>
      <c r="AJ19" s="52">
        <f t="shared" si="14"/>
        <v>2743</v>
      </c>
      <c r="AK19" s="56">
        <f t="shared" si="15"/>
        <v>0.26734892787524367</v>
      </c>
      <c r="AL19" s="70">
        <v>1201</v>
      </c>
      <c r="AM19" s="71">
        <v>1861</v>
      </c>
      <c r="AN19" s="71">
        <v>1396</v>
      </c>
      <c r="AO19" s="71">
        <v>1072</v>
      </c>
      <c r="AP19" s="52">
        <f t="shared" si="17"/>
        <v>5530</v>
      </c>
      <c r="AQ19" s="57">
        <f t="shared" si="18"/>
        <v>0.53898635477582846</v>
      </c>
      <c r="AR19" s="58">
        <f t="shared" si="19"/>
        <v>0.80633528265107213</v>
      </c>
    </row>
    <row r="20" spans="1:44" ht="30.75" customHeight="1">
      <c r="A20" s="43">
        <v>21</v>
      </c>
      <c r="B20" s="44" t="s">
        <v>42</v>
      </c>
      <c r="C20" s="44" t="s">
        <v>50</v>
      </c>
      <c r="D20" s="76">
        <v>46164</v>
      </c>
      <c r="E20" s="65">
        <v>126</v>
      </c>
      <c r="F20" s="65">
        <v>125</v>
      </c>
      <c r="G20" s="47">
        <f t="shared" si="1"/>
        <v>0.99206349206349209</v>
      </c>
      <c r="H20" s="48" t="s">
        <v>122</v>
      </c>
      <c r="I20" s="49">
        <f t="shared" si="26"/>
        <v>4770</v>
      </c>
      <c r="J20" s="49">
        <f t="shared" si="26"/>
        <v>4345</v>
      </c>
      <c r="K20" s="49">
        <f t="shared" si="26"/>
        <v>3431</v>
      </c>
      <c r="L20" s="49">
        <f t="shared" si="26"/>
        <v>2820</v>
      </c>
      <c r="M20" s="50">
        <f t="shared" si="3"/>
        <v>15366</v>
      </c>
      <c r="N20" s="66">
        <v>340</v>
      </c>
      <c r="O20" s="66">
        <v>76</v>
      </c>
      <c r="P20" s="66">
        <v>11</v>
      </c>
      <c r="Q20" s="66">
        <v>0</v>
      </c>
      <c r="R20" s="52">
        <f t="shared" si="5"/>
        <v>427</v>
      </c>
      <c r="S20" s="55">
        <f t="shared" si="6"/>
        <v>2.7788624235324744E-2</v>
      </c>
      <c r="T20" s="67">
        <v>1017</v>
      </c>
      <c r="U20" s="69">
        <v>319</v>
      </c>
      <c r="V20" s="69">
        <v>59</v>
      </c>
      <c r="W20" s="69">
        <v>9</v>
      </c>
      <c r="X20" s="54">
        <f t="shared" si="8"/>
        <v>1404</v>
      </c>
      <c r="Y20" s="55">
        <f t="shared" si="9"/>
        <v>9.1370558375634514E-2</v>
      </c>
      <c r="Z20" s="67">
        <v>1630</v>
      </c>
      <c r="AA20" s="69">
        <v>786</v>
      </c>
      <c r="AB20" s="69">
        <v>275</v>
      </c>
      <c r="AC20" s="69">
        <v>39</v>
      </c>
      <c r="AD20" s="54">
        <f t="shared" si="11"/>
        <v>2730</v>
      </c>
      <c r="AE20" s="55">
        <f t="shared" si="12"/>
        <v>0.17766497461928935</v>
      </c>
      <c r="AF20" s="67">
        <v>1056</v>
      </c>
      <c r="AG20" s="69">
        <v>1265</v>
      </c>
      <c r="AH20" s="69">
        <v>959</v>
      </c>
      <c r="AI20" s="69">
        <v>511</v>
      </c>
      <c r="AJ20" s="52">
        <f t="shared" si="14"/>
        <v>3791</v>
      </c>
      <c r="AK20" s="56">
        <f t="shared" si="15"/>
        <v>0.24671352336326954</v>
      </c>
      <c r="AL20" s="70">
        <v>727</v>
      </c>
      <c r="AM20" s="71">
        <v>1899</v>
      </c>
      <c r="AN20" s="71">
        <v>2127</v>
      </c>
      <c r="AO20" s="71">
        <v>2261</v>
      </c>
      <c r="AP20" s="52">
        <f t="shared" si="17"/>
        <v>7014</v>
      </c>
      <c r="AQ20" s="57">
        <f t="shared" si="18"/>
        <v>0.45646231940648185</v>
      </c>
      <c r="AR20" s="58">
        <f t="shared" si="19"/>
        <v>0.70317584276975142</v>
      </c>
    </row>
    <row r="21" spans="1:44" ht="30.75" customHeight="1">
      <c r="A21" s="43">
        <v>22</v>
      </c>
      <c r="B21" s="44" t="s">
        <v>42</v>
      </c>
      <c r="C21" s="44" t="s">
        <v>52</v>
      </c>
      <c r="D21" s="76">
        <v>46164</v>
      </c>
      <c r="E21" s="65">
        <v>120</v>
      </c>
      <c r="F21" s="65">
        <v>119</v>
      </c>
      <c r="G21" s="47">
        <f t="shared" si="1"/>
        <v>0.9916666666666667</v>
      </c>
      <c r="H21" s="48" t="s">
        <v>123</v>
      </c>
      <c r="I21" s="49">
        <f t="shared" si="26"/>
        <v>5784</v>
      </c>
      <c r="J21" s="49">
        <f t="shared" si="26"/>
        <v>5151</v>
      </c>
      <c r="K21" s="49">
        <f t="shared" si="26"/>
        <v>4087</v>
      </c>
      <c r="L21" s="49">
        <f t="shared" si="26"/>
        <v>3081</v>
      </c>
      <c r="M21" s="50">
        <f t="shared" si="3"/>
        <v>18103</v>
      </c>
      <c r="N21" s="66">
        <v>325</v>
      </c>
      <c r="O21" s="66">
        <v>35</v>
      </c>
      <c r="P21" s="66">
        <v>6</v>
      </c>
      <c r="Q21" s="66">
        <v>0</v>
      </c>
      <c r="R21" s="52">
        <f t="shared" si="5"/>
        <v>366</v>
      </c>
      <c r="S21" s="55">
        <f t="shared" si="6"/>
        <v>2.0217643484505332E-2</v>
      </c>
      <c r="T21" s="67">
        <v>859</v>
      </c>
      <c r="U21" s="69">
        <v>217</v>
      </c>
      <c r="V21" s="69">
        <v>33</v>
      </c>
      <c r="W21" s="69">
        <v>4</v>
      </c>
      <c r="X21" s="54">
        <f t="shared" si="8"/>
        <v>1113</v>
      </c>
      <c r="Y21" s="55">
        <f t="shared" si="9"/>
        <v>6.1481522399602279E-2</v>
      </c>
      <c r="Z21" s="67">
        <v>1506</v>
      </c>
      <c r="AA21" s="69">
        <v>643</v>
      </c>
      <c r="AB21" s="69">
        <v>161</v>
      </c>
      <c r="AC21" s="69">
        <v>17</v>
      </c>
      <c r="AD21" s="54">
        <f t="shared" si="11"/>
        <v>2327</v>
      </c>
      <c r="AE21" s="55">
        <f t="shared" si="12"/>
        <v>0.12854223056951886</v>
      </c>
      <c r="AF21" s="67">
        <v>1733</v>
      </c>
      <c r="AG21" s="69">
        <v>1343</v>
      </c>
      <c r="AH21" s="69">
        <v>768</v>
      </c>
      <c r="AI21" s="69">
        <v>269</v>
      </c>
      <c r="AJ21" s="52">
        <f t="shared" si="14"/>
        <v>4113</v>
      </c>
      <c r="AK21" s="56">
        <f t="shared" si="15"/>
        <v>0.2271999116168591</v>
      </c>
      <c r="AL21" s="70">
        <v>1361</v>
      </c>
      <c r="AM21" s="71">
        <v>2913</v>
      </c>
      <c r="AN21" s="71">
        <v>3119</v>
      </c>
      <c r="AO21" s="71">
        <v>2791</v>
      </c>
      <c r="AP21" s="52">
        <f t="shared" si="17"/>
        <v>10184</v>
      </c>
      <c r="AQ21" s="57">
        <f t="shared" si="18"/>
        <v>0.56255869192951447</v>
      </c>
      <c r="AR21" s="58">
        <f t="shared" si="19"/>
        <v>0.78975860354637351</v>
      </c>
    </row>
    <row r="22" spans="1:44" ht="30.75" customHeight="1">
      <c r="A22" s="43">
        <v>23</v>
      </c>
      <c r="B22" s="44" t="s">
        <v>42</v>
      </c>
      <c r="C22" s="44" t="s">
        <v>54</v>
      </c>
      <c r="D22" s="76">
        <v>46164</v>
      </c>
      <c r="E22" s="65">
        <v>199</v>
      </c>
      <c r="F22" s="65">
        <v>198</v>
      </c>
      <c r="G22" s="47">
        <f t="shared" si="1"/>
        <v>0.99497487437185927</v>
      </c>
      <c r="H22" s="48" t="s">
        <v>124</v>
      </c>
      <c r="I22" s="49">
        <f t="shared" si="26"/>
        <v>6494</v>
      </c>
      <c r="J22" s="49">
        <f t="shared" si="26"/>
        <v>6687</v>
      </c>
      <c r="K22" s="49">
        <f t="shared" si="26"/>
        <v>5683</v>
      </c>
      <c r="L22" s="49">
        <f t="shared" si="26"/>
        <v>4577</v>
      </c>
      <c r="M22" s="50">
        <f t="shared" si="3"/>
        <v>23441</v>
      </c>
      <c r="N22" s="66">
        <v>349</v>
      </c>
      <c r="O22" s="66">
        <v>91</v>
      </c>
      <c r="P22" s="66">
        <v>9</v>
      </c>
      <c r="Q22" s="66">
        <v>8</v>
      </c>
      <c r="R22" s="52">
        <f t="shared" si="5"/>
        <v>457</v>
      </c>
      <c r="S22" s="55">
        <f t="shared" si="6"/>
        <v>1.9495755300541786E-2</v>
      </c>
      <c r="T22" s="67">
        <v>1204</v>
      </c>
      <c r="U22" s="69">
        <v>336</v>
      </c>
      <c r="V22" s="69">
        <v>33</v>
      </c>
      <c r="W22" s="69">
        <v>4</v>
      </c>
      <c r="X22" s="54">
        <f t="shared" si="8"/>
        <v>1577</v>
      </c>
      <c r="Y22" s="55">
        <f t="shared" si="9"/>
        <v>6.7275286890491018E-2</v>
      </c>
      <c r="Z22" s="67">
        <v>1826</v>
      </c>
      <c r="AA22" s="69">
        <v>1071</v>
      </c>
      <c r="AB22" s="69">
        <v>323</v>
      </c>
      <c r="AC22" s="69">
        <v>31</v>
      </c>
      <c r="AD22" s="54">
        <f t="shared" si="11"/>
        <v>3251</v>
      </c>
      <c r="AE22" s="55">
        <f t="shared" si="12"/>
        <v>0.13868862249904015</v>
      </c>
      <c r="AF22" s="67">
        <v>1841</v>
      </c>
      <c r="AG22" s="69">
        <v>1944</v>
      </c>
      <c r="AH22" s="69">
        <v>1535</v>
      </c>
      <c r="AI22" s="69">
        <v>575</v>
      </c>
      <c r="AJ22" s="52">
        <f t="shared" si="14"/>
        <v>5895</v>
      </c>
      <c r="AK22" s="56">
        <f t="shared" si="15"/>
        <v>0.25148244528817032</v>
      </c>
      <c r="AL22" s="70">
        <v>1274</v>
      </c>
      <c r="AM22" s="71">
        <v>3245</v>
      </c>
      <c r="AN22" s="71">
        <v>3783</v>
      </c>
      <c r="AO22" s="71">
        <v>3959</v>
      </c>
      <c r="AP22" s="52">
        <f t="shared" si="17"/>
        <v>12261</v>
      </c>
      <c r="AQ22" s="57">
        <f t="shared" si="18"/>
        <v>0.52305789002175673</v>
      </c>
      <c r="AR22" s="58">
        <f t="shared" si="19"/>
        <v>0.77454033530992705</v>
      </c>
    </row>
    <row r="23" spans="1:44" ht="30.75" customHeight="1">
      <c r="A23" s="28" t="s">
        <v>56</v>
      </c>
      <c r="B23" s="5"/>
      <c r="C23" s="29"/>
      <c r="D23" s="30"/>
      <c r="E23" s="30">
        <f t="shared" ref="E23:F23" si="33">E24+E25+E26+E27+E28+E29+E30</f>
        <v>1380</v>
      </c>
      <c r="F23" s="30">
        <f t="shared" si="33"/>
        <v>1377</v>
      </c>
      <c r="G23" s="31">
        <f t="shared" si="1"/>
        <v>0.99782608695652175</v>
      </c>
      <c r="H23" s="32"/>
      <c r="I23" s="33">
        <f t="shared" si="26"/>
        <v>51907</v>
      </c>
      <c r="J23" s="33">
        <f t="shared" si="26"/>
        <v>46852</v>
      </c>
      <c r="K23" s="33">
        <f t="shared" si="26"/>
        <v>37437</v>
      </c>
      <c r="L23" s="33">
        <f t="shared" si="26"/>
        <v>29986</v>
      </c>
      <c r="M23" s="34">
        <f t="shared" si="3"/>
        <v>166182</v>
      </c>
      <c r="N23" s="33">
        <f>+SUM(N24:N30)</f>
        <v>2113</v>
      </c>
      <c r="O23" s="35">
        <f t="shared" ref="O23:Q23" si="34">+SUM(O24:O30)</f>
        <v>342</v>
      </c>
      <c r="P23" s="35">
        <f t="shared" si="34"/>
        <v>53</v>
      </c>
      <c r="Q23" s="35">
        <f t="shared" si="34"/>
        <v>12</v>
      </c>
      <c r="R23" s="36">
        <f t="shared" si="5"/>
        <v>2520</v>
      </c>
      <c r="S23" s="39">
        <f t="shared" si="6"/>
        <v>1.5164097194642019E-2</v>
      </c>
      <c r="T23" s="60">
        <f>+SUM(T24:T30)</f>
        <v>8165</v>
      </c>
      <c r="U23" s="60">
        <f t="shared" ref="U23:W23" si="35">+SUM(U24:U30)</f>
        <v>2235</v>
      </c>
      <c r="V23" s="60">
        <f t="shared" si="35"/>
        <v>363</v>
      </c>
      <c r="W23" s="60">
        <f t="shared" si="35"/>
        <v>120</v>
      </c>
      <c r="X23" s="38">
        <f t="shared" si="8"/>
        <v>10883</v>
      </c>
      <c r="Y23" s="39">
        <f t="shared" si="9"/>
        <v>6.5488440384638524E-2</v>
      </c>
      <c r="Z23" s="60">
        <f>+SUM(Z24:Z30)</f>
        <v>15513</v>
      </c>
      <c r="AA23" s="60">
        <f t="shared" ref="AA23:AC23" si="36">+SUM(AA24:AA30)</f>
        <v>7562</v>
      </c>
      <c r="AB23" s="60">
        <f t="shared" si="36"/>
        <v>2441</v>
      </c>
      <c r="AC23" s="60">
        <f t="shared" si="36"/>
        <v>708</v>
      </c>
      <c r="AD23" s="38">
        <f t="shared" si="11"/>
        <v>26224</v>
      </c>
      <c r="AE23" s="39">
        <f t="shared" si="12"/>
        <v>0.1578028908064652</v>
      </c>
      <c r="AF23" s="60">
        <f>+SUM(AF24:AF30)</f>
        <v>15703</v>
      </c>
      <c r="AG23" s="60">
        <f t="shared" ref="AG23:AI23" si="37">+SUM(AG24:AG30)</f>
        <v>14752</v>
      </c>
      <c r="AH23" s="60">
        <f t="shared" si="37"/>
        <v>9662</v>
      </c>
      <c r="AI23" s="60">
        <f t="shared" si="37"/>
        <v>4720</v>
      </c>
      <c r="AJ23" s="36">
        <f t="shared" si="14"/>
        <v>44837</v>
      </c>
      <c r="AK23" s="40">
        <f t="shared" si="15"/>
        <v>0.26980659758577946</v>
      </c>
      <c r="AL23" s="61">
        <f>+SUM(AL24:AL30)</f>
        <v>10413</v>
      </c>
      <c r="AM23" s="61">
        <f t="shared" ref="AM23:AO23" si="38">+SUM(AM24:AM30)</f>
        <v>21961</v>
      </c>
      <c r="AN23" s="61">
        <f t="shared" si="38"/>
        <v>24918</v>
      </c>
      <c r="AO23" s="61">
        <f t="shared" si="38"/>
        <v>24426</v>
      </c>
      <c r="AP23" s="36">
        <f t="shared" si="17"/>
        <v>81718</v>
      </c>
      <c r="AQ23" s="41">
        <f t="shared" si="18"/>
        <v>0.4917379740284748</v>
      </c>
      <c r="AR23" s="42">
        <f t="shared" si="19"/>
        <v>0.76154457161425426</v>
      </c>
    </row>
    <row r="24" spans="1:44" ht="30.75" customHeight="1">
      <c r="A24" s="43">
        <v>24</v>
      </c>
      <c r="B24" s="44" t="s">
        <v>57</v>
      </c>
      <c r="C24" s="44" t="s">
        <v>58</v>
      </c>
      <c r="D24" s="76">
        <v>46164</v>
      </c>
      <c r="E24" s="45">
        <v>186</v>
      </c>
      <c r="F24" s="46">
        <v>186</v>
      </c>
      <c r="G24" s="47">
        <f t="shared" si="1"/>
        <v>1</v>
      </c>
      <c r="H24" s="48">
        <v>27372</v>
      </c>
      <c r="I24" s="49">
        <f t="shared" si="26"/>
        <v>7395</v>
      </c>
      <c r="J24" s="49">
        <f t="shared" si="26"/>
        <v>7140</v>
      </c>
      <c r="K24" s="49">
        <f t="shared" si="26"/>
        <v>5644</v>
      </c>
      <c r="L24" s="49">
        <f t="shared" si="26"/>
        <v>4449</v>
      </c>
      <c r="M24" s="50">
        <f t="shared" si="3"/>
        <v>24628</v>
      </c>
      <c r="N24" s="72">
        <v>308</v>
      </c>
      <c r="O24" s="72">
        <v>46</v>
      </c>
      <c r="P24" s="72">
        <v>4</v>
      </c>
      <c r="Q24" s="72">
        <v>0</v>
      </c>
      <c r="R24" s="52">
        <f t="shared" si="5"/>
        <v>358</v>
      </c>
      <c r="S24" s="55">
        <f t="shared" si="6"/>
        <v>1.4536300146175084E-2</v>
      </c>
      <c r="T24" s="80">
        <v>1190</v>
      </c>
      <c r="U24" s="80">
        <v>318</v>
      </c>
      <c r="V24" s="80">
        <v>56</v>
      </c>
      <c r="W24" s="80">
        <v>42</v>
      </c>
      <c r="X24" s="54">
        <f t="shared" si="8"/>
        <v>1606</v>
      </c>
      <c r="Y24" s="55">
        <f t="shared" si="9"/>
        <v>6.5210329706025666E-2</v>
      </c>
      <c r="Z24" s="80">
        <v>2477</v>
      </c>
      <c r="AA24" s="80">
        <v>1341</v>
      </c>
      <c r="AB24" s="80">
        <v>495</v>
      </c>
      <c r="AC24" s="80">
        <v>115</v>
      </c>
      <c r="AD24" s="54">
        <f t="shared" si="11"/>
        <v>4428</v>
      </c>
      <c r="AE24" s="55">
        <f t="shared" si="12"/>
        <v>0.17979535488062368</v>
      </c>
      <c r="AF24" s="80">
        <v>2104</v>
      </c>
      <c r="AG24" s="80">
        <v>2165</v>
      </c>
      <c r="AH24" s="80">
        <v>1404</v>
      </c>
      <c r="AI24" s="80">
        <v>729</v>
      </c>
      <c r="AJ24" s="52">
        <f t="shared" si="14"/>
        <v>6402</v>
      </c>
      <c r="AK24" s="56">
        <f t="shared" si="15"/>
        <v>0.25994802663634886</v>
      </c>
      <c r="AL24" s="80">
        <v>1316</v>
      </c>
      <c r="AM24" s="80">
        <v>3270</v>
      </c>
      <c r="AN24" s="80">
        <v>3685</v>
      </c>
      <c r="AO24" s="80">
        <v>3563</v>
      </c>
      <c r="AP24" s="52">
        <f t="shared" si="17"/>
        <v>11834</v>
      </c>
      <c r="AQ24" s="57">
        <f t="shared" si="18"/>
        <v>0.48050998863082672</v>
      </c>
      <c r="AR24" s="58">
        <f t="shared" si="19"/>
        <v>0.74045801526717558</v>
      </c>
    </row>
    <row r="25" spans="1:44" ht="30.75" customHeight="1">
      <c r="A25" s="43">
        <v>25</v>
      </c>
      <c r="B25" s="44" t="s">
        <v>57</v>
      </c>
      <c r="C25" s="44" t="s">
        <v>59</v>
      </c>
      <c r="D25" s="76">
        <v>46164</v>
      </c>
      <c r="E25" s="45">
        <v>314</v>
      </c>
      <c r="F25" s="46">
        <v>313</v>
      </c>
      <c r="G25" s="47">
        <f t="shared" si="1"/>
        <v>0.99681528662420382</v>
      </c>
      <c r="H25" s="48">
        <v>37688</v>
      </c>
      <c r="I25" s="49">
        <f t="shared" si="26"/>
        <v>10831</v>
      </c>
      <c r="J25" s="49">
        <f t="shared" si="26"/>
        <v>9302</v>
      </c>
      <c r="K25" s="49">
        <f t="shared" si="26"/>
        <v>7226</v>
      </c>
      <c r="L25" s="49">
        <f t="shared" si="26"/>
        <v>5435</v>
      </c>
      <c r="M25" s="50">
        <f t="shared" si="3"/>
        <v>32794</v>
      </c>
      <c r="N25" s="72">
        <v>362</v>
      </c>
      <c r="O25" s="72">
        <v>55</v>
      </c>
      <c r="P25" s="72">
        <v>9</v>
      </c>
      <c r="Q25" s="72">
        <v>1</v>
      </c>
      <c r="R25" s="52">
        <f t="shared" si="5"/>
        <v>427</v>
      </c>
      <c r="S25" s="55">
        <f t="shared" si="6"/>
        <v>1.3020674513630542E-2</v>
      </c>
      <c r="T25" s="80">
        <v>1796</v>
      </c>
      <c r="U25" s="80">
        <v>391</v>
      </c>
      <c r="V25" s="80">
        <v>77</v>
      </c>
      <c r="W25" s="80">
        <v>45</v>
      </c>
      <c r="X25" s="54">
        <f t="shared" si="8"/>
        <v>2309</v>
      </c>
      <c r="Y25" s="55">
        <f t="shared" si="9"/>
        <v>7.0409221198999811E-2</v>
      </c>
      <c r="Z25" s="80">
        <v>3571</v>
      </c>
      <c r="AA25" s="80">
        <v>1511</v>
      </c>
      <c r="AB25" s="80">
        <v>440</v>
      </c>
      <c r="AC25" s="80">
        <v>107</v>
      </c>
      <c r="AD25" s="54">
        <f t="shared" si="11"/>
        <v>5629</v>
      </c>
      <c r="AE25" s="55">
        <f t="shared" si="12"/>
        <v>0.17164725254619748</v>
      </c>
      <c r="AF25" s="80">
        <v>3403</v>
      </c>
      <c r="AG25" s="80">
        <v>2839</v>
      </c>
      <c r="AH25" s="80">
        <v>1662</v>
      </c>
      <c r="AI25" s="80">
        <v>737</v>
      </c>
      <c r="AJ25" s="52">
        <f t="shared" si="14"/>
        <v>8641</v>
      </c>
      <c r="AK25" s="56">
        <f t="shared" si="15"/>
        <v>0.26349332194913705</v>
      </c>
      <c r="AL25" s="80">
        <v>1699</v>
      </c>
      <c r="AM25" s="80">
        <v>4506</v>
      </c>
      <c r="AN25" s="80">
        <v>5038</v>
      </c>
      <c r="AO25" s="80">
        <v>4545</v>
      </c>
      <c r="AP25" s="52">
        <f t="shared" si="17"/>
        <v>15788</v>
      </c>
      <c r="AQ25" s="57">
        <f t="shared" si="18"/>
        <v>0.48142952979203513</v>
      </c>
      <c r="AR25" s="58">
        <f t="shared" si="19"/>
        <v>0.74492285174117212</v>
      </c>
    </row>
    <row r="26" spans="1:44" ht="30.75" customHeight="1">
      <c r="A26" s="43">
        <v>26</v>
      </c>
      <c r="B26" s="44" t="s">
        <v>57</v>
      </c>
      <c r="C26" s="44" t="s">
        <v>60</v>
      </c>
      <c r="D26" s="76">
        <v>46164</v>
      </c>
      <c r="E26" s="45">
        <v>53</v>
      </c>
      <c r="F26" s="46">
        <v>53</v>
      </c>
      <c r="G26" s="47">
        <f t="shared" si="1"/>
        <v>1</v>
      </c>
      <c r="H26" s="48">
        <v>12990</v>
      </c>
      <c r="I26" s="49">
        <f t="shared" si="26"/>
        <v>2966</v>
      </c>
      <c r="J26" s="49">
        <f t="shared" si="26"/>
        <v>3081</v>
      </c>
      <c r="K26" s="49">
        <f t="shared" si="26"/>
        <v>2729</v>
      </c>
      <c r="L26" s="49">
        <f t="shared" si="26"/>
        <v>2824</v>
      </c>
      <c r="M26" s="50">
        <f t="shared" si="3"/>
        <v>11600</v>
      </c>
      <c r="N26" s="72">
        <v>196</v>
      </c>
      <c r="O26" s="72">
        <v>47</v>
      </c>
      <c r="P26" s="72">
        <v>0</v>
      </c>
      <c r="Q26" s="72">
        <v>2</v>
      </c>
      <c r="R26" s="52">
        <f t="shared" si="5"/>
        <v>245</v>
      </c>
      <c r="S26" s="55">
        <f t="shared" si="6"/>
        <v>2.1120689655172414E-2</v>
      </c>
      <c r="T26" s="80">
        <v>599</v>
      </c>
      <c r="U26" s="80">
        <v>256</v>
      </c>
      <c r="V26" s="80">
        <v>19</v>
      </c>
      <c r="W26" s="80">
        <v>4</v>
      </c>
      <c r="X26" s="54">
        <f t="shared" si="8"/>
        <v>878</v>
      </c>
      <c r="Y26" s="55">
        <f t="shared" si="9"/>
        <v>7.56896551724138E-2</v>
      </c>
      <c r="Z26" s="80">
        <v>1012</v>
      </c>
      <c r="AA26" s="80">
        <v>680</v>
      </c>
      <c r="AB26" s="80">
        <v>175</v>
      </c>
      <c r="AC26" s="80">
        <v>75</v>
      </c>
      <c r="AD26" s="54">
        <f t="shared" si="11"/>
        <v>1942</v>
      </c>
      <c r="AE26" s="55">
        <f t="shared" si="12"/>
        <v>0.16741379310344828</v>
      </c>
      <c r="AF26" s="80">
        <v>839</v>
      </c>
      <c r="AG26" s="80">
        <v>1114</v>
      </c>
      <c r="AH26" s="80">
        <v>969</v>
      </c>
      <c r="AI26" s="80">
        <v>604</v>
      </c>
      <c r="AJ26" s="52">
        <f t="shared" si="14"/>
        <v>3526</v>
      </c>
      <c r="AK26" s="56">
        <f t="shared" si="15"/>
        <v>0.30396551724137932</v>
      </c>
      <c r="AL26" s="80">
        <v>320</v>
      </c>
      <c r="AM26" s="80">
        <v>984</v>
      </c>
      <c r="AN26" s="80">
        <v>1566</v>
      </c>
      <c r="AO26" s="80">
        <v>2139</v>
      </c>
      <c r="AP26" s="52">
        <f t="shared" si="17"/>
        <v>5009</v>
      </c>
      <c r="AQ26" s="57">
        <f t="shared" si="18"/>
        <v>0.43181034482758623</v>
      </c>
      <c r="AR26" s="58">
        <f t="shared" si="19"/>
        <v>0.73577586206896561</v>
      </c>
    </row>
    <row r="27" spans="1:44" ht="30.75" customHeight="1">
      <c r="A27" s="43">
        <v>27</v>
      </c>
      <c r="B27" s="44" t="s">
        <v>57</v>
      </c>
      <c r="C27" s="44" t="s">
        <v>61</v>
      </c>
      <c r="D27" s="76">
        <v>46164</v>
      </c>
      <c r="E27" s="45">
        <v>242</v>
      </c>
      <c r="F27" s="46">
        <v>242</v>
      </c>
      <c r="G27" s="47">
        <f t="shared" si="1"/>
        <v>1</v>
      </c>
      <c r="H27" s="48">
        <v>37553</v>
      </c>
      <c r="I27" s="49">
        <f t="shared" si="26"/>
        <v>11003</v>
      </c>
      <c r="J27" s="49">
        <f t="shared" si="26"/>
        <v>9586</v>
      </c>
      <c r="K27" s="49">
        <f t="shared" si="26"/>
        <v>7536</v>
      </c>
      <c r="L27" s="49">
        <f t="shared" si="26"/>
        <v>6185</v>
      </c>
      <c r="M27" s="50">
        <f t="shared" si="3"/>
        <v>34310</v>
      </c>
      <c r="N27" s="72">
        <v>542</v>
      </c>
      <c r="O27" s="72">
        <v>73</v>
      </c>
      <c r="P27" s="72">
        <v>11</v>
      </c>
      <c r="Q27" s="72">
        <v>1</v>
      </c>
      <c r="R27" s="52">
        <f t="shared" si="5"/>
        <v>627</v>
      </c>
      <c r="S27" s="55">
        <f t="shared" si="6"/>
        <v>1.8274555523171088E-2</v>
      </c>
      <c r="T27" s="80">
        <v>1757</v>
      </c>
      <c r="U27" s="80">
        <v>457</v>
      </c>
      <c r="V27" s="80">
        <v>44</v>
      </c>
      <c r="W27" s="80">
        <v>9</v>
      </c>
      <c r="X27" s="54">
        <f t="shared" si="8"/>
        <v>2267</v>
      </c>
      <c r="Y27" s="55">
        <f t="shared" si="9"/>
        <v>6.6074030894782865E-2</v>
      </c>
      <c r="Z27" s="80">
        <v>3193</v>
      </c>
      <c r="AA27" s="80">
        <v>1434</v>
      </c>
      <c r="AB27" s="80">
        <v>465</v>
      </c>
      <c r="AC27" s="80">
        <v>127</v>
      </c>
      <c r="AD27" s="54">
        <f t="shared" si="11"/>
        <v>5219</v>
      </c>
      <c r="AE27" s="55">
        <f t="shared" si="12"/>
        <v>0.15211308656368405</v>
      </c>
      <c r="AF27" s="80">
        <v>3052</v>
      </c>
      <c r="AG27" s="80">
        <v>3242</v>
      </c>
      <c r="AH27" s="80">
        <v>2185</v>
      </c>
      <c r="AI27" s="80">
        <v>1181</v>
      </c>
      <c r="AJ27" s="52">
        <f t="shared" si="14"/>
        <v>9660</v>
      </c>
      <c r="AK27" s="56">
        <f t="shared" si="15"/>
        <v>0.28155056834742059</v>
      </c>
      <c r="AL27" s="80">
        <v>2459</v>
      </c>
      <c r="AM27" s="80">
        <v>4380</v>
      </c>
      <c r="AN27" s="80">
        <v>4831</v>
      </c>
      <c r="AO27" s="80">
        <v>4867</v>
      </c>
      <c r="AP27" s="52">
        <f t="shared" si="17"/>
        <v>16537</v>
      </c>
      <c r="AQ27" s="57">
        <f t="shared" si="18"/>
        <v>0.4819877586709414</v>
      </c>
      <c r="AR27" s="58">
        <f t="shared" si="19"/>
        <v>0.763538327018362</v>
      </c>
    </row>
    <row r="28" spans="1:44" ht="30.75" customHeight="1">
      <c r="A28" s="43">
        <v>28</v>
      </c>
      <c r="B28" s="44" t="s">
        <v>57</v>
      </c>
      <c r="C28" s="44" t="s">
        <v>62</v>
      </c>
      <c r="D28" s="76">
        <v>46164</v>
      </c>
      <c r="E28" s="45">
        <v>253</v>
      </c>
      <c r="F28" s="46">
        <v>251</v>
      </c>
      <c r="G28" s="47">
        <f t="shared" si="1"/>
        <v>0.9920948616600791</v>
      </c>
      <c r="H28" s="48">
        <v>29452</v>
      </c>
      <c r="I28" s="49">
        <f t="shared" si="26"/>
        <v>8656</v>
      </c>
      <c r="J28" s="49">
        <f t="shared" si="26"/>
        <v>7711</v>
      </c>
      <c r="K28" s="49">
        <f t="shared" si="26"/>
        <v>6090</v>
      </c>
      <c r="L28" s="49">
        <f t="shared" si="26"/>
        <v>4632</v>
      </c>
      <c r="M28" s="50">
        <f t="shared" si="3"/>
        <v>27089</v>
      </c>
      <c r="N28" s="72">
        <v>377</v>
      </c>
      <c r="O28" s="72">
        <v>83</v>
      </c>
      <c r="P28" s="72">
        <v>22</v>
      </c>
      <c r="Q28" s="72">
        <v>1</v>
      </c>
      <c r="R28" s="52">
        <f t="shared" si="5"/>
        <v>483</v>
      </c>
      <c r="S28" s="55">
        <f t="shared" si="6"/>
        <v>1.7830115545055189E-2</v>
      </c>
      <c r="T28" s="80">
        <v>1168</v>
      </c>
      <c r="U28" s="80">
        <v>347</v>
      </c>
      <c r="V28" s="80">
        <v>82</v>
      </c>
      <c r="W28" s="80">
        <v>3</v>
      </c>
      <c r="X28" s="54">
        <f t="shared" si="8"/>
        <v>1600</v>
      </c>
      <c r="Y28" s="55">
        <f t="shared" si="9"/>
        <v>5.9064564952563771E-2</v>
      </c>
      <c r="Z28" s="80">
        <v>2271</v>
      </c>
      <c r="AA28" s="80">
        <v>1095</v>
      </c>
      <c r="AB28" s="80">
        <v>336</v>
      </c>
      <c r="AC28" s="80">
        <v>73</v>
      </c>
      <c r="AD28" s="54">
        <f t="shared" si="11"/>
        <v>3775</v>
      </c>
      <c r="AE28" s="55">
        <f t="shared" si="12"/>
        <v>0.13935545793495516</v>
      </c>
      <c r="AF28" s="80">
        <v>2574</v>
      </c>
      <c r="AG28" s="80">
        <v>2282</v>
      </c>
      <c r="AH28" s="80">
        <v>1520</v>
      </c>
      <c r="AI28" s="80">
        <v>611</v>
      </c>
      <c r="AJ28" s="52">
        <f t="shared" si="14"/>
        <v>6987</v>
      </c>
      <c r="AK28" s="56">
        <f t="shared" si="15"/>
        <v>0.25792757207722694</v>
      </c>
      <c r="AL28" s="80">
        <v>2266</v>
      </c>
      <c r="AM28" s="80">
        <v>3904</v>
      </c>
      <c r="AN28" s="80">
        <v>4130</v>
      </c>
      <c r="AO28" s="80">
        <v>3944</v>
      </c>
      <c r="AP28" s="52">
        <f t="shared" si="17"/>
        <v>14244</v>
      </c>
      <c r="AQ28" s="57">
        <f t="shared" si="18"/>
        <v>0.52582228949019894</v>
      </c>
      <c r="AR28" s="58">
        <f t="shared" si="19"/>
        <v>0.78374986156742588</v>
      </c>
    </row>
    <row r="29" spans="1:44" ht="30.75" customHeight="1">
      <c r="A29" s="43">
        <v>29</v>
      </c>
      <c r="B29" s="44" t="s">
        <v>57</v>
      </c>
      <c r="C29" s="44" t="s">
        <v>63</v>
      </c>
      <c r="D29" s="76">
        <v>46164</v>
      </c>
      <c r="E29" s="45">
        <v>171</v>
      </c>
      <c r="F29" s="46">
        <v>171</v>
      </c>
      <c r="G29" s="47">
        <f t="shared" si="1"/>
        <v>1</v>
      </c>
      <c r="H29" s="48">
        <v>20208</v>
      </c>
      <c r="I29" s="49">
        <f t="shared" ref="I29:L39" si="39">N29+T29+Z29+AF29+AL29</f>
        <v>5411</v>
      </c>
      <c r="J29" s="49">
        <f t="shared" si="39"/>
        <v>5192</v>
      </c>
      <c r="K29" s="49">
        <f t="shared" si="39"/>
        <v>4501</v>
      </c>
      <c r="L29" s="49">
        <f t="shared" si="39"/>
        <v>3605</v>
      </c>
      <c r="M29" s="50">
        <f t="shared" si="3"/>
        <v>18709</v>
      </c>
      <c r="N29" s="72">
        <v>131</v>
      </c>
      <c r="O29" s="72">
        <v>15</v>
      </c>
      <c r="P29" s="72">
        <v>2</v>
      </c>
      <c r="Q29" s="72">
        <v>6</v>
      </c>
      <c r="R29" s="52">
        <f t="shared" si="5"/>
        <v>154</v>
      </c>
      <c r="S29" s="55">
        <f t="shared" si="6"/>
        <v>8.2313325137634286E-3</v>
      </c>
      <c r="T29" s="80">
        <v>723</v>
      </c>
      <c r="U29" s="80">
        <v>246</v>
      </c>
      <c r="V29" s="80">
        <v>40</v>
      </c>
      <c r="W29" s="80">
        <v>11</v>
      </c>
      <c r="X29" s="54">
        <f t="shared" si="8"/>
        <v>1020</v>
      </c>
      <c r="Y29" s="55">
        <f t="shared" si="9"/>
        <v>5.4519215350900638E-2</v>
      </c>
      <c r="Z29" s="80">
        <v>1569</v>
      </c>
      <c r="AA29" s="80">
        <v>686</v>
      </c>
      <c r="AB29" s="80">
        <v>220</v>
      </c>
      <c r="AC29" s="80">
        <v>74</v>
      </c>
      <c r="AD29" s="54">
        <f t="shared" si="11"/>
        <v>2549</v>
      </c>
      <c r="AE29" s="55">
        <f t="shared" si="12"/>
        <v>0.13624458816612325</v>
      </c>
      <c r="AF29" s="80">
        <v>1845</v>
      </c>
      <c r="AG29" s="80">
        <v>1527</v>
      </c>
      <c r="AH29" s="80">
        <v>852</v>
      </c>
      <c r="AI29" s="80">
        <v>280</v>
      </c>
      <c r="AJ29" s="52">
        <f t="shared" si="14"/>
        <v>4504</v>
      </c>
      <c r="AK29" s="56">
        <f t="shared" si="15"/>
        <v>0.24073975092201613</v>
      </c>
      <c r="AL29" s="80">
        <v>1143</v>
      </c>
      <c r="AM29" s="80">
        <v>2718</v>
      </c>
      <c r="AN29" s="80">
        <v>3387</v>
      </c>
      <c r="AO29" s="80">
        <v>3234</v>
      </c>
      <c r="AP29" s="52">
        <f t="shared" si="17"/>
        <v>10482</v>
      </c>
      <c r="AQ29" s="57">
        <f t="shared" si="18"/>
        <v>0.56026511304719651</v>
      </c>
      <c r="AR29" s="58">
        <f t="shared" si="19"/>
        <v>0.80100486396921267</v>
      </c>
    </row>
    <row r="30" spans="1:44" ht="30.75" customHeight="1">
      <c r="A30" s="43">
        <v>30</v>
      </c>
      <c r="B30" s="44" t="s">
        <v>57</v>
      </c>
      <c r="C30" s="44" t="s">
        <v>64</v>
      </c>
      <c r="D30" s="76">
        <v>46164</v>
      </c>
      <c r="E30" s="45">
        <v>161</v>
      </c>
      <c r="F30" s="46">
        <v>161</v>
      </c>
      <c r="G30" s="47">
        <f t="shared" si="1"/>
        <v>1</v>
      </c>
      <c r="H30" s="48">
        <v>19714</v>
      </c>
      <c r="I30" s="49">
        <f t="shared" si="39"/>
        <v>5645</v>
      </c>
      <c r="J30" s="49">
        <f t="shared" si="39"/>
        <v>4840</v>
      </c>
      <c r="K30" s="49">
        <f t="shared" si="39"/>
        <v>3711</v>
      </c>
      <c r="L30" s="49">
        <f t="shared" si="39"/>
        <v>2856</v>
      </c>
      <c r="M30" s="50">
        <f t="shared" si="3"/>
        <v>17052</v>
      </c>
      <c r="N30" s="72">
        <v>197</v>
      </c>
      <c r="O30" s="72">
        <v>23</v>
      </c>
      <c r="P30" s="72">
        <v>5</v>
      </c>
      <c r="Q30" s="72">
        <v>1</v>
      </c>
      <c r="R30" s="52">
        <f t="shared" si="5"/>
        <v>226</v>
      </c>
      <c r="S30" s="55">
        <f t="shared" si="6"/>
        <v>1.325357729298616E-2</v>
      </c>
      <c r="T30" s="80">
        <v>932</v>
      </c>
      <c r="U30" s="80">
        <v>220</v>
      </c>
      <c r="V30" s="80">
        <v>45</v>
      </c>
      <c r="W30" s="80">
        <v>6</v>
      </c>
      <c r="X30" s="54">
        <f t="shared" si="8"/>
        <v>1203</v>
      </c>
      <c r="Y30" s="55">
        <f t="shared" si="9"/>
        <v>7.0548909218859951E-2</v>
      </c>
      <c r="Z30" s="80">
        <v>1420</v>
      </c>
      <c r="AA30" s="80">
        <v>815</v>
      </c>
      <c r="AB30" s="80">
        <v>310</v>
      </c>
      <c r="AC30" s="80">
        <v>137</v>
      </c>
      <c r="AD30" s="54">
        <f t="shared" si="11"/>
        <v>2682</v>
      </c>
      <c r="AE30" s="55">
        <f t="shared" si="12"/>
        <v>0.15728360309641098</v>
      </c>
      <c r="AF30" s="80">
        <v>1886</v>
      </c>
      <c r="AG30" s="80">
        <v>1583</v>
      </c>
      <c r="AH30" s="80">
        <v>1070</v>
      </c>
      <c r="AI30" s="80">
        <v>578</v>
      </c>
      <c r="AJ30" s="52">
        <f t="shared" si="14"/>
        <v>5117</v>
      </c>
      <c r="AK30" s="56">
        <f t="shared" si="15"/>
        <v>0.30008210180623973</v>
      </c>
      <c r="AL30" s="80">
        <v>1210</v>
      </c>
      <c r="AM30" s="80">
        <v>2199</v>
      </c>
      <c r="AN30" s="80">
        <v>2281</v>
      </c>
      <c r="AO30" s="80">
        <v>2134</v>
      </c>
      <c r="AP30" s="52">
        <f t="shared" si="17"/>
        <v>7824</v>
      </c>
      <c r="AQ30" s="57">
        <f t="shared" si="18"/>
        <v>0.45883180858550315</v>
      </c>
      <c r="AR30" s="58">
        <f t="shared" si="19"/>
        <v>0.75891391039174283</v>
      </c>
    </row>
    <row r="31" spans="1:44" ht="30.75" customHeight="1">
      <c r="A31" s="28" t="s">
        <v>65</v>
      </c>
      <c r="B31" s="5"/>
      <c r="C31" s="29"/>
      <c r="D31" s="30"/>
      <c r="E31" s="30">
        <f t="shared" ref="E31:F31" si="40">E32+E33+E34+E35+E36+E37+E38+E39</f>
        <v>1709</v>
      </c>
      <c r="F31" s="30">
        <f t="shared" si="40"/>
        <v>1704</v>
      </c>
      <c r="G31" s="31">
        <f t="shared" si="1"/>
        <v>0.99707431246342892</v>
      </c>
      <c r="H31" s="32"/>
      <c r="I31" s="33">
        <f t="shared" si="39"/>
        <v>48734</v>
      </c>
      <c r="J31" s="33">
        <f t="shared" si="39"/>
        <v>47821</v>
      </c>
      <c r="K31" s="33">
        <f t="shared" si="39"/>
        <v>42319</v>
      </c>
      <c r="L31" s="33">
        <f t="shared" si="39"/>
        <v>35989</v>
      </c>
      <c r="M31" s="34">
        <f t="shared" si="3"/>
        <v>174863</v>
      </c>
      <c r="N31" s="33">
        <f>+SUM(N32:N39)</f>
        <v>1024</v>
      </c>
      <c r="O31" s="35">
        <f t="shared" ref="O31:Q31" si="41">+SUM(O32:O39)</f>
        <v>175</v>
      </c>
      <c r="P31" s="35">
        <f t="shared" si="41"/>
        <v>36</v>
      </c>
      <c r="Q31" s="35">
        <f t="shared" si="41"/>
        <v>0</v>
      </c>
      <c r="R31" s="36">
        <f t="shared" si="5"/>
        <v>1235</v>
      </c>
      <c r="S31" s="39">
        <f t="shared" si="6"/>
        <v>7.0626719203033235E-3</v>
      </c>
      <c r="T31" s="60">
        <f>+SUM(T32:T39)</f>
        <v>4689</v>
      </c>
      <c r="U31" s="60">
        <f t="shared" ref="U31:W31" si="42">+SUM(U32:U39)</f>
        <v>949</v>
      </c>
      <c r="V31" s="60">
        <f t="shared" si="42"/>
        <v>397</v>
      </c>
      <c r="W31" s="60">
        <f t="shared" si="42"/>
        <v>44</v>
      </c>
      <c r="X31" s="38">
        <f t="shared" si="8"/>
        <v>6079</v>
      </c>
      <c r="Y31" s="39">
        <f t="shared" si="9"/>
        <v>3.4764358383420166E-2</v>
      </c>
      <c r="Z31" s="60">
        <f>+SUM(Z32:Z39)</f>
        <v>12600</v>
      </c>
      <c r="AA31" s="60">
        <f t="shared" ref="AA31:AC31" si="43">+SUM(AA32:AA39)</f>
        <v>4830</v>
      </c>
      <c r="AB31" s="60">
        <f t="shared" si="43"/>
        <v>1375</v>
      </c>
      <c r="AC31" s="60">
        <f t="shared" si="43"/>
        <v>441</v>
      </c>
      <c r="AD31" s="38">
        <f t="shared" si="11"/>
        <v>19246</v>
      </c>
      <c r="AE31" s="39">
        <f t="shared" si="12"/>
        <v>0.11006330670296174</v>
      </c>
      <c r="AF31" s="60">
        <f>+SUM(AF32:AF39)</f>
        <v>18805</v>
      </c>
      <c r="AG31" s="60">
        <f t="shared" ref="AG31:AI31" si="44">+SUM(AG32:AG39)</f>
        <v>15362</v>
      </c>
      <c r="AH31" s="60">
        <f t="shared" si="44"/>
        <v>9114</v>
      </c>
      <c r="AI31" s="60">
        <f t="shared" si="44"/>
        <v>4220</v>
      </c>
      <c r="AJ31" s="36">
        <f t="shared" si="14"/>
        <v>47501</v>
      </c>
      <c r="AK31" s="40">
        <f t="shared" si="15"/>
        <v>0.27164694646666249</v>
      </c>
      <c r="AL31" s="61">
        <f>+SUM(AL32:AL39)</f>
        <v>11616</v>
      </c>
      <c r="AM31" s="61">
        <f t="shared" ref="AM31:AO31" si="45">+SUM(AM32:AM39)</f>
        <v>26505</v>
      </c>
      <c r="AN31" s="61">
        <f t="shared" si="45"/>
        <v>31397</v>
      </c>
      <c r="AO31" s="61">
        <f t="shared" si="45"/>
        <v>31284</v>
      </c>
      <c r="AP31" s="36">
        <f t="shared" si="17"/>
        <v>100802</v>
      </c>
      <c r="AQ31" s="41">
        <f t="shared" si="18"/>
        <v>0.57646271652665226</v>
      </c>
      <c r="AR31" s="42">
        <f t="shared" si="19"/>
        <v>0.84810966299331469</v>
      </c>
    </row>
    <row r="32" spans="1:44" ht="30.75" customHeight="1">
      <c r="A32" s="43">
        <v>31</v>
      </c>
      <c r="B32" s="44" t="s">
        <v>66</v>
      </c>
      <c r="C32" s="44" t="s">
        <v>67</v>
      </c>
      <c r="D32" s="76">
        <v>46164</v>
      </c>
      <c r="E32" s="45">
        <v>233</v>
      </c>
      <c r="F32" s="46">
        <v>232</v>
      </c>
      <c r="G32" s="47">
        <f t="shared" si="1"/>
        <v>0.99570815450643779</v>
      </c>
      <c r="H32" s="48" t="s">
        <v>125</v>
      </c>
      <c r="I32" s="49">
        <f t="shared" si="39"/>
        <v>6347</v>
      </c>
      <c r="J32" s="49">
        <f t="shared" si="39"/>
        <v>6120</v>
      </c>
      <c r="K32" s="49">
        <f t="shared" si="39"/>
        <v>5370</v>
      </c>
      <c r="L32" s="49">
        <f t="shared" si="39"/>
        <v>4765</v>
      </c>
      <c r="M32" s="50">
        <f t="shared" si="3"/>
        <v>22602</v>
      </c>
      <c r="N32" s="49">
        <v>188</v>
      </c>
      <c r="O32" s="51">
        <v>44</v>
      </c>
      <c r="P32" s="51">
        <v>10</v>
      </c>
      <c r="Q32" s="51">
        <v>0</v>
      </c>
      <c r="R32" s="52">
        <f t="shared" si="5"/>
        <v>242</v>
      </c>
      <c r="S32" s="55">
        <f t="shared" si="6"/>
        <v>1.0707017078134679E-2</v>
      </c>
      <c r="T32" s="63">
        <v>754</v>
      </c>
      <c r="U32" s="63">
        <v>170</v>
      </c>
      <c r="V32" s="63">
        <v>40</v>
      </c>
      <c r="W32" s="63">
        <v>19</v>
      </c>
      <c r="X32" s="54">
        <f t="shared" si="8"/>
        <v>983</v>
      </c>
      <c r="Y32" s="55">
        <f t="shared" si="9"/>
        <v>4.3491726395894166E-2</v>
      </c>
      <c r="Z32" s="80">
        <v>1965</v>
      </c>
      <c r="AA32" s="80">
        <v>723</v>
      </c>
      <c r="AB32" s="80">
        <v>212</v>
      </c>
      <c r="AC32" s="80">
        <v>47</v>
      </c>
      <c r="AD32" s="54">
        <f t="shared" si="11"/>
        <v>2947</v>
      </c>
      <c r="AE32" s="55">
        <f t="shared" si="12"/>
        <v>0.13038669144323511</v>
      </c>
      <c r="AF32" s="80">
        <v>2374</v>
      </c>
      <c r="AG32" s="80">
        <v>2181</v>
      </c>
      <c r="AH32" s="80">
        <v>1173</v>
      </c>
      <c r="AI32" s="80">
        <v>767</v>
      </c>
      <c r="AJ32" s="52">
        <f t="shared" si="14"/>
        <v>6495</v>
      </c>
      <c r="AK32" s="56">
        <f t="shared" si="15"/>
        <v>0.28736395009291216</v>
      </c>
      <c r="AL32" s="80">
        <v>1066</v>
      </c>
      <c r="AM32" s="80">
        <v>3002</v>
      </c>
      <c r="AN32" s="80">
        <v>3935</v>
      </c>
      <c r="AO32" s="80">
        <v>3932</v>
      </c>
      <c r="AP32" s="52">
        <f t="shared" si="17"/>
        <v>11935</v>
      </c>
      <c r="AQ32" s="57">
        <f t="shared" si="18"/>
        <v>0.52805061498982386</v>
      </c>
      <c r="AR32" s="58">
        <f t="shared" si="19"/>
        <v>0.81541456508273602</v>
      </c>
    </row>
    <row r="33" spans="1:44" ht="30.75" customHeight="1">
      <c r="A33" s="43">
        <v>32</v>
      </c>
      <c r="B33" s="44" t="s">
        <v>66</v>
      </c>
      <c r="C33" s="44" t="s">
        <v>69</v>
      </c>
      <c r="D33" s="76">
        <v>46164</v>
      </c>
      <c r="E33" s="45">
        <v>155</v>
      </c>
      <c r="F33" s="46">
        <v>154</v>
      </c>
      <c r="G33" s="47">
        <f t="shared" si="1"/>
        <v>0.99354838709677418</v>
      </c>
      <c r="H33" s="48" t="s">
        <v>126</v>
      </c>
      <c r="I33" s="49">
        <f t="shared" si="39"/>
        <v>7205</v>
      </c>
      <c r="J33" s="49">
        <f t="shared" si="39"/>
        <v>7356</v>
      </c>
      <c r="K33" s="49">
        <f t="shared" si="39"/>
        <v>6609</v>
      </c>
      <c r="L33" s="49">
        <f t="shared" si="39"/>
        <v>5727</v>
      </c>
      <c r="M33" s="50">
        <f t="shared" si="3"/>
        <v>26897</v>
      </c>
      <c r="N33" s="49">
        <v>141</v>
      </c>
      <c r="O33" s="51">
        <v>35</v>
      </c>
      <c r="P33" s="51">
        <v>2</v>
      </c>
      <c r="Q33" s="51">
        <v>0</v>
      </c>
      <c r="R33" s="52">
        <f t="shared" si="5"/>
        <v>178</v>
      </c>
      <c r="S33" s="55">
        <f t="shared" si="6"/>
        <v>6.6178384206417072E-3</v>
      </c>
      <c r="T33" s="63">
        <v>677</v>
      </c>
      <c r="U33" s="63">
        <v>125</v>
      </c>
      <c r="V33" s="63">
        <v>39</v>
      </c>
      <c r="W33" s="63">
        <v>8</v>
      </c>
      <c r="X33" s="54">
        <f t="shared" si="8"/>
        <v>849</v>
      </c>
      <c r="Y33" s="55">
        <f t="shared" si="9"/>
        <v>3.1564858534409039E-2</v>
      </c>
      <c r="Z33" s="80">
        <v>1770</v>
      </c>
      <c r="AA33" s="80">
        <v>717</v>
      </c>
      <c r="AB33" s="80">
        <v>236</v>
      </c>
      <c r="AC33" s="80">
        <v>105</v>
      </c>
      <c r="AD33" s="54">
        <f t="shared" si="11"/>
        <v>2828</v>
      </c>
      <c r="AE33" s="55">
        <f t="shared" si="12"/>
        <v>0.10514183737963341</v>
      </c>
      <c r="AF33" s="80">
        <v>2526</v>
      </c>
      <c r="AG33" s="80">
        <v>2233</v>
      </c>
      <c r="AH33" s="80">
        <v>1376</v>
      </c>
      <c r="AI33" s="80">
        <v>684</v>
      </c>
      <c r="AJ33" s="52">
        <f t="shared" si="14"/>
        <v>6819</v>
      </c>
      <c r="AK33" s="56">
        <f t="shared" si="15"/>
        <v>0.25352269769862812</v>
      </c>
      <c r="AL33" s="80">
        <v>2091</v>
      </c>
      <c r="AM33" s="80">
        <v>4246</v>
      </c>
      <c r="AN33" s="80">
        <v>4956</v>
      </c>
      <c r="AO33" s="80">
        <v>4930</v>
      </c>
      <c r="AP33" s="52">
        <f t="shared" si="17"/>
        <v>16223</v>
      </c>
      <c r="AQ33" s="57">
        <f t="shared" si="18"/>
        <v>0.60315276796668771</v>
      </c>
      <c r="AR33" s="58">
        <f t="shared" si="19"/>
        <v>0.85667546566531583</v>
      </c>
    </row>
    <row r="34" spans="1:44" ht="30.75" customHeight="1">
      <c r="A34" s="43">
        <v>33</v>
      </c>
      <c r="B34" s="44" t="s">
        <v>66</v>
      </c>
      <c r="C34" s="44" t="s">
        <v>71</v>
      </c>
      <c r="D34" s="76">
        <v>46164</v>
      </c>
      <c r="E34" s="45">
        <v>94</v>
      </c>
      <c r="F34" s="46">
        <v>94</v>
      </c>
      <c r="G34" s="47">
        <f t="shared" si="1"/>
        <v>1</v>
      </c>
      <c r="H34" s="48" t="s">
        <v>127</v>
      </c>
      <c r="I34" s="49">
        <f t="shared" si="39"/>
        <v>8290</v>
      </c>
      <c r="J34" s="49">
        <f t="shared" si="39"/>
        <v>8645</v>
      </c>
      <c r="K34" s="49">
        <f t="shared" si="39"/>
        <v>7753</v>
      </c>
      <c r="L34" s="49">
        <f t="shared" si="39"/>
        <v>7591</v>
      </c>
      <c r="M34" s="50">
        <f t="shared" si="3"/>
        <v>32279</v>
      </c>
      <c r="N34" s="49">
        <v>296</v>
      </c>
      <c r="O34" s="51">
        <v>45</v>
      </c>
      <c r="P34" s="51">
        <v>15</v>
      </c>
      <c r="Q34" s="51">
        <v>0</v>
      </c>
      <c r="R34" s="52">
        <f t="shared" si="5"/>
        <v>356</v>
      </c>
      <c r="S34" s="55">
        <f t="shared" si="6"/>
        <v>1.1028842281359398E-2</v>
      </c>
      <c r="T34" s="63">
        <v>969</v>
      </c>
      <c r="U34" s="63">
        <v>237</v>
      </c>
      <c r="V34" s="63">
        <v>15</v>
      </c>
      <c r="W34" s="63">
        <v>3</v>
      </c>
      <c r="X34" s="54">
        <f t="shared" si="8"/>
        <v>1224</v>
      </c>
      <c r="Y34" s="55">
        <f t="shared" si="9"/>
        <v>3.7919390315685121E-2</v>
      </c>
      <c r="Z34" s="80">
        <v>2041</v>
      </c>
      <c r="AA34" s="80">
        <v>996</v>
      </c>
      <c r="AB34" s="80">
        <v>299</v>
      </c>
      <c r="AC34" s="80">
        <v>165</v>
      </c>
      <c r="AD34" s="54">
        <f t="shared" si="11"/>
        <v>3501</v>
      </c>
      <c r="AE34" s="55">
        <f t="shared" si="12"/>
        <v>0.108460609064717</v>
      </c>
      <c r="AF34" s="80">
        <v>2870</v>
      </c>
      <c r="AG34" s="80">
        <v>2686</v>
      </c>
      <c r="AH34" s="80">
        <v>2038</v>
      </c>
      <c r="AI34" s="80">
        <v>1310</v>
      </c>
      <c r="AJ34" s="52">
        <f t="shared" si="14"/>
        <v>8904</v>
      </c>
      <c r="AK34" s="56">
        <f t="shared" si="15"/>
        <v>0.27584497661017998</v>
      </c>
      <c r="AL34" s="80">
        <v>2114</v>
      </c>
      <c r="AM34" s="80">
        <v>4681</v>
      </c>
      <c r="AN34" s="80">
        <v>5386</v>
      </c>
      <c r="AO34" s="80">
        <v>6113</v>
      </c>
      <c r="AP34" s="52">
        <f t="shared" si="17"/>
        <v>18294</v>
      </c>
      <c r="AQ34" s="57">
        <f t="shared" si="18"/>
        <v>0.56674618172805846</v>
      </c>
      <c r="AR34" s="58">
        <f t="shared" si="19"/>
        <v>0.84259115833823839</v>
      </c>
    </row>
    <row r="35" spans="1:44" ht="30.75" customHeight="1">
      <c r="A35" s="43">
        <v>34</v>
      </c>
      <c r="B35" s="44" t="s">
        <v>66</v>
      </c>
      <c r="C35" s="44" t="s">
        <v>73</v>
      </c>
      <c r="D35" s="76">
        <v>46164</v>
      </c>
      <c r="E35" s="45">
        <v>153</v>
      </c>
      <c r="F35" s="46">
        <v>153</v>
      </c>
      <c r="G35" s="47">
        <f t="shared" si="1"/>
        <v>1</v>
      </c>
      <c r="H35" s="48" t="s">
        <v>128</v>
      </c>
      <c r="I35" s="49">
        <f t="shared" si="39"/>
        <v>3876</v>
      </c>
      <c r="J35" s="49">
        <f t="shared" si="39"/>
        <v>3639</v>
      </c>
      <c r="K35" s="49">
        <f t="shared" si="39"/>
        <v>3091</v>
      </c>
      <c r="L35" s="49">
        <f t="shared" si="39"/>
        <v>2331</v>
      </c>
      <c r="M35" s="50">
        <f t="shared" si="3"/>
        <v>12937</v>
      </c>
      <c r="N35" s="49">
        <v>47</v>
      </c>
      <c r="O35" s="51">
        <v>2</v>
      </c>
      <c r="P35" s="51">
        <v>0</v>
      </c>
      <c r="Q35" s="51">
        <v>0</v>
      </c>
      <c r="R35" s="52">
        <f t="shared" si="5"/>
        <v>49</v>
      </c>
      <c r="S35" s="55">
        <f t="shared" si="6"/>
        <v>3.7875859936615909E-3</v>
      </c>
      <c r="T35" s="63">
        <v>326</v>
      </c>
      <c r="U35" s="63">
        <v>31</v>
      </c>
      <c r="V35" s="63">
        <v>38</v>
      </c>
      <c r="W35" s="63">
        <v>2</v>
      </c>
      <c r="X35" s="54">
        <f t="shared" si="8"/>
        <v>397</v>
      </c>
      <c r="Y35" s="55">
        <f t="shared" si="9"/>
        <v>3.0687176315992888E-2</v>
      </c>
      <c r="Z35" s="80">
        <v>1113</v>
      </c>
      <c r="AA35" s="80">
        <v>306</v>
      </c>
      <c r="AB35" s="80">
        <v>63</v>
      </c>
      <c r="AC35" s="80">
        <v>8</v>
      </c>
      <c r="AD35" s="54">
        <f t="shared" si="11"/>
        <v>1490</v>
      </c>
      <c r="AE35" s="55">
        <f t="shared" si="12"/>
        <v>0.11517353327664838</v>
      </c>
      <c r="AF35" s="80">
        <v>1553</v>
      </c>
      <c r="AG35" s="80">
        <v>1269</v>
      </c>
      <c r="AH35" s="80">
        <v>623</v>
      </c>
      <c r="AI35" s="80">
        <v>144</v>
      </c>
      <c r="AJ35" s="52">
        <f t="shared" si="14"/>
        <v>3589</v>
      </c>
      <c r="AK35" s="56">
        <f t="shared" si="15"/>
        <v>0.27742134961737652</v>
      </c>
      <c r="AL35" s="80">
        <v>837</v>
      </c>
      <c r="AM35" s="80">
        <v>2031</v>
      </c>
      <c r="AN35" s="80">
        <v>2367</v>
      </c>
      <c r="AO35" s="80">
        <v>2177</v>
      </c>
      <c r="AP35" s="52">
        <f t="shared" si="17"/>
        <v>7412</v>
      </c>
      <c r="AQ35" s="57">
        <f t="shared" si="18"/>
        <v>0.5729303547963206</v>
      </c>
      <c r="AR35" s="58">
        <f t="shared" si="19"/>
        <v>0.85035170441369712</v>
      </c>
    </row>
    <row r="36" spans="1:44" ht="30.75" customHeight="1">
      <c r="A36" s="43">
        <v>35</v>
      </c>
      <c r="B36" s="44" t="s">
        <v>66</v>
      </c>
      <c r="C36" s="44" t="s">
        <v>75</v>
      </c>
      <c r="D36" s="76">
        <v>46164</v>
      </c>
      <c r="E36" s="45">
        <v>284</v>
      </c>
      <c r="F36" s="46">
        <v>281</v>
      </c>
      <c r="G36" s="47">
        <f t="shared" si="1"/>
        <v>0.98943661971830987</v>
      </c>
      <c r="H36" s="48" t="s">
        <v>129</v>
      </c>
      <c r="I36" s="49">
        <f t="shared" si="39"/>
        <v>6540</v>
      </c>
      <c r="J36" s="49">
        <f t="shared" si="39"/>
        <v>5732</v>
      </c>
      <c r="K36" s="49">
        <f t="shared" si="39"/>
        <v>4472</v>
      </c>
      <c r="L36" s="49">
        <f t="shared" si="39"/>
        <v>3371</v>
      </c>
      <c r="M36" s="50">
        <f t="shared" si="3"/>
        <v>20115</v>
      </c>
      <c r="N36" s="49">
        <v>63</v>
      </c>
      <c r="O36" s="51">
        <v>8</v>
      </c>
      <c r="P36" s="51">
        <v>0</v>
      </c>
      <c r="Q36" s="51">
        <v>0</v>
      </c>
      <c r="R36" s="52">
        <f t="shared" si="5"/>
        <v>71</v>
      </c>
      <c r="S36" s="55">
        <f t="shared" si="6"/>
        <v>3.5297042008451403E-3</v>
      </c>
      <c r="T36" s="63">
        <v>509</v>
      </c>
      <c r="U36" s="63">
        <v>72</v>
      </c>
      <c r="V36" s="63">
        <v>73</v>
      </c>
      <c r="W36" s="63">
        <v>0</v>
      </c>
      <c r="X36" s="54">
        <f t="shared" si="8"/>
        <v>654</v>
      </c>
      <c r="Y36" s="55">
        <f t="shared" si="9"/>
        <v>3.251304996271439E-2</v>
      </c>
      <c r="Z36" s="80">
        <v>1379</v>
      </c>
      <c r="AA36" s="80">
        <v>398</v>
      </c>
      <c r="AB36" s="80">
        <v>78</v>
      </c>
      <c r="AC36" s="80">
        <v>4</v>
      </c>
      <c r="AD36" s="54">
        <f t="shared" si="11"/>
        <v>1859</v>
      </c>
      <c r="AE36" s="55">
        <f t="shared" si="12"/>
        <v>9.2418593089734033E-2</v>
      </c>
      <c r="AF36" s="80">
        <v>2959</v>
      </c>
      <c r="AG36" s="80">
        <v>1772</v>
      </c>
      <c r="AH36" s="80">
        <v>707</v>
      </c>
      <c r="AI36" s="80">
        <v>177</v>
      </c>
      <c r="AJ36" s="52">
        <f t="shared" si="14"/>
        <v>5615</v>
      </c>
      <c r="AK36" s="56">
        <f t="shared" si="15"/>
        <v>0.27914491672880937</v>
      </c>
      <c r="AL36" s="80">
        <v>1630</v>
      </c>
      <c r="AM36" s="80">
        <v>3482</v>
      </c>
      <c r="AN36" s="80">
        <v>3614</v>
      </c>
      <c r="AO36" s="80">
        <v>3190</v>
      </c>
      <c r="AP36" s="52">
        <f t="shared" si="17"/>
        <v>11916</v>
      </c>
      <c r="AQ36" s="57">
        <f t="shared" si="18"/>
        <v>0.59239373601789713</v>
      </c>
      <c r="AR36" s="58">
        <f t="shared" si="19"/>
        <v>0.8715386527467065</v>
      </c>
    </row>
    <row r="37" spans="1:44" ht="30.75" customHeight="1">
      <c r="A37" s="43">
        <v>36</v>
      </c>
      <c r="B37" s="44" t="s">
        <v>66</v>
      </c>
      <c r="C37" s="44" t="s">
        <v>77</v>
      </c>
      <c r="D37" s="76">
        <v>46164</v>
      </c>
      <c r="E37" s="45">
        <v>175</v>
      </c>
      <c r="F37" s="46">
        <v>175</v>
      </c>
      <c r="G37" s="47">
        <f t="shared" si="1"/>
        <v>1</v>
      </c>
      <c r="H37" s="48" t="s">
        <v>130</v>
      </c>
      <c r="I37" s="49">
        <f t="shared" si="39"/>
        <v>5081</v>
      </c>
      <c r="J37" s="49">
        <f t="shared" si="39"/>
        <v>5109</v>
      </c>
      <c r="K37" s="49">
        <f t="shared" si="39"/>
        <v>4816</v>
      </c>
      <c r="L37" s="49">
        <f t="shared" si="39"/>
        <v>4198</v>
      </c>
      <c r="M37" s="50">
        <f t="shared" si="3"/>
        <v>19204</v>
      </c>
      <c r="N37" s="49">
        <v>97</v>
      </c>
      <c r="O37" s="51">
        <v>19</v>
      </c>
      <c r="P37" s="51">
        <v>2</v>
      </c>
      <c r="Q37" s="51">
        <v>0</v>
      </c>
      <c r="R37" s="52">
        <f t="shared" si="5"/>
        <v>118</v>
      </c>
      <c r="S37" s="55">
        <f t="shared" si="6"/>
        <v>6.1445532180795671E-3</v>
      </c>
      <c r="T37" s="63">
        <v>473</v>
      </c>
      <c r="U37" s="63">
        <v>167</v>
      </c>
      <c r="V37" s="63">
        <v>48</v>
      </c>
      <c r="W37" s="63">
        <v>10</v>
      </c>
      <c r="X37" s="54">
        <f t="shared" si="8"/>
        <v>698</v>
      </c>
      <c r="Y37" s="55">
        <f t="shared" si="9"/>
        <v>3.6346594459487604E-2</v>
      </c>
      <c r="Z37" s="80">
        <v>1268</v>
      </c>
      <c r="AA37" s="80">
        <v>552</v>
      </c>
      <c r="AB37" s="80">
        <v>177</v>
      </c>
      <c r="AC37" s="80">
        <v>16</v>
      </c>
      <c r="AD37" s="54">
        <f t="shared" si="11"/>
        <v>2013</v>
      </c>
      <c r="AE37" s="55">
        <f t="shared" si="12"/>
        <v>0.10482191210164549</v>
      </c>
      <c r="AF37" s="80">
        <v>1814</v>
      </c>
      <c r="AG37" s="80">
        <v>1577</v>
      </c>
      <c r="AH37" s="80">
        <v>1015</v>
      </c>
      <c r="AI37" s="80">
        <v>352</v>
      </c>
      <c r="AJ37" s="52">
        <f t="shared" si="14"/>
        <v>4758</v>
      </c>
      <c r="AK37" s="56">
        <f t="shared" si="15"/>
        <v>0.24776088314934389</v>
      </c>
      <c r="AL37" s="80">
        <v>1429</v>
      </c>
      <c r="AM37" s="80">
        <v>2794</v>
      </c>
      <c r="AN37" s="80">
        <v>3574</v>
      </c>
      <c r="AO37" s="80">
        <v>3820</v>
      </c>
      <c r="AP37" s="52">
        <f t="shared" si="17"/>
        <v>11617</v>
      </c>
      <c r="AQ37" s="57">
        <f t="shared" si="18"/>
        <v>0.60492605707144342</v>
      </c>
      <c r="AR37" s="58">
        <f t="shared" si="19"/>
        <v>0.85268694022078728</v>
      </c>
    </row>
    <row r="38" spans="1:44" ht="30.75" customHeight="1">
      <c r="A38" s="43">
        <v>37</v>
      </c>
      <c r="B38" s="44" t="s">
        <v>66</v>
      </c>
      <c r="C38" s="44" t="s">
        <v>79</v>
      </c>
      <c r="D38" s="76">
        <v>46164</v>
      </c>
      <c r="E38" s="45">
        <v>341</v>
      </c>
      <c r="F38" s="46">
        <v>341</v>
      </c>
      <c r="G38" s="47">
        <f t="shared" si="1"/>
        <v>1</v>
      </c>
      <c r="H38" s="48" t="s">
        <v>131</v>
      </c>
      <c r="I38" s="49">
        <f t="shared" si="39"/>
        <v>6481</v>
      </c>
      <c r="J38" s="49">
        <f t="shared" si="39"/>
        <v>6123</v>
      </c>
      <c r="K38" s="49">
        <f t="shared" si="39"/>
        <v>5403</v>
      </c>
      <c r="L38" s="49">
        <f t="shared" si="39"/>
        <v>3886</v>
      </c>
      <c r="M38" s="50">
        <f t="shared" si="3"/>
        <v>21893</v>
      </c>
      <c r="N38" s="49">
        <v>112</v>
      </c>
      <c r="O38" s="51">
        <v>7</v>
      </c>
      <c r="P38" s="51">
        <v>0</v>
      </c>
      <c r="Q38" s="51">
        <v>0</v>
      </c>
      <c r="R38" s="52">
        <f t="shared" si="5"/>
        <v>119</v>
      </c>
      <c r="S38" s="55">
        <f t="shared" si="6"/>
        <v>5.4355273375051383E-3</v>
      </c>
      <c r="T38" s="63">
        <v>632</v>
      </c>
      <c r="U38" s="63">
        <v>91</v>
      </c>
      <c r="V38" s="63">
        <v>71</v>
      </c>
      <c r="W38" s="63">
        <v>1</v>
      </c>
      <c r="X38" s="54">
        <f t="shared" si="8"/>
        <v>795</v>
      </c>
      <c r="Y38" s="55">
        <f t="shared" si="9"/>
        <v>3.6312976750559542E-2</v>
      </c>
      <c r="Z38" s="80">
        <v>1907</v>
      </c>
      <c r="AA38" s="80">
        <v>676</v>
      </c>
      <c r="AB38" s="80">
        <v>212</v>
      </c>
      <c r="AC38" s="80">
        <v>53</v>
      </c>
      <c r="AD38" s="54">
        <f t="shared" si="11"/>
        <v>2848</v>
      </c>
      <c r="AE38" s="55">
        <f t="shared" si="12"/>
        <v>0.13008724249760198</v>
      </c>
      <c r="AF38" s="80">
        <v>2630</v>
      </c>
      <c r="AG38" s="80">
        <v>2102</v>
      </c>
      <c r="AH38" s="80">
        <v>1272</v>
      </c>
      <c r="AI38" s="80">
        <v>412</v>
      </c>
      <c r="AJ38" s="52">
        <f t="shared" si="14"/>
        <v>6416</v>
      </c>
      <c r="AK38" s="56">
        <f t="shared" si="15"/>
        <v>0.29306170922212582</v>
      </c>
      <c r="AL38" s="80">
        <v>1200</v>
      </c>
      <c r="AM38" s="80">
        <v>3247</v>
      </c>
      <c r="AN38" s="80">
        <v>3848</v>
      </c>
      <c r="AO38" s="80">
        <v>3420</v>
      </c>
      <c r="AP38" s="52">
        <f t="shared" si="17"/>
        <v>11715</v>
      </c>
      <c r="AQ38" s="57">
        <f t="shared" si="18"/>
        <v>0.5351025441922076</v>
      </c>
      <c r="AR38" s="58">
        <f t="shared" si="19"/>
        <v>0.82816425341433342</v>
      </c>
    </row>
    <row r="39" spans="1:44" ht="30.75" customHeight="1">
      <c r="A39" s="43">
        <v>38</v>
      </c>
      <c r="B39" s="44" t="s">
        <v>66</v>
      </c>
      <c r="C39" s="44" t="s">
        <v>81</v>
      </c>
      <c r="D39" s="76">
        <v>46164</v>
      </c>
      <c r="E39" s="45">
        <v>274</v>
      </c>
      <c r="F39" s="46">
        <v>274</v>
      </c>
      <c r="G39" s="47">
        <f t="shared" si="1"/>
        <v>1</v>
      </c>
      <c r="H39" s="48" t="s">
        <v>132</v>
      </c>
      <c r="I39" s="49">
        <f t="shared" si="39"/>
        <v>4914</v>
      </c>
      <c r="J39" s="49">
        <f t="shared" si="39"/>
        <v>5097</v>
      </c>
      <c r="K39" s="49">
        <f t="shared" si="39"/>
        <v>4805</v>
      </c>
      <c r="L39" s="49">
        <f t="shared" si="39"/>
        <v>4120</v>
      </c>
      <c r="M39" s="50">
        <f t="shared" si="3"/>
        <v>18936</v>
      </c>
      <c r="N39" s="49">
        <v>80</v>
      </c>
      <c r="O39" s="51">
        <v>15</v>
      </c>
      <c r="P39" s="51">
        <v>7</v>
      </c>
      <c r="Q39" s="51">
        <v>0</v>
      </c>
      <c r="R39" s="52">
        <f t="shared" si="5"/>
        <v>102</v>
      </c>
      <c r="S39" s="55">
        <f t="shared" si="6"/>
        <v>5.3865652724968318E-3</v>
      </c>
      <c r="T39" s="63">
        <v>349</v>
      </c>
      <c r="U39" s="63">
        <v>56</v>
      </c>
      <c r="V39" s="63">
        <v>73</v>
      </c>
      <c r="W39" s="63">
        <v>1</v>
      </c>
      <c r="X39" s="54">
        <f t="shared" si="8"/>
        <v>479</v>
      </c>
      <c r="Y39" s="55">
        <f t="shared" si="9"/>
        <v>2.5295732995352767E-2</v>
      </c>
      <c r="Z39" s="80">
        <v>1157</v>
      </c>
      <c r="AA39" s="80">
        <v>462</v>
      </c>
      <c r="AB39" s="80">
        <v>98</v>
      </c>
      <c r="AC39" s="80">
        <v>43</v>
      </c>
      <c r="AD39" s="54">
        <f t="shared" si="11"/>
        <v>1760</v>
      </c>
      <c r="AE39" s="55">
        <f t="shared" si="12"/>
        <v>9.2944655682298274E-2</v>
      </c>
      <c r="AF39" s="80">
        <v>2079</v>
      </c>
      <c r="AG39" s="80">
        <v>1542</v>
      </c>
      <c r="AH39" s="80">
        <v>910</v>
      </c>
      <c r="AI39" s="80">
        <v>374</v>
      </c>
      <c r="AJ39" s="52">
        <f t="shared" si="14"/>
        <v>4905</v>
      </c>
      <c r="AK39" s="56">
        <f t="shared" si="15"/>
        <v>0.25903041825095058</v>
      </c>
      <c r="AL39" s="80">
        <v>1249</v>
      </c>
      <c r="AM39" s="80">
        <v>3022</v>
      </c>
      <c r="AN39" s="80">
        <v>3717</v>
      </c>
      <c r="AO39" s="80">
        <v>3702</v>
      </c>
      <c r="AP39" s="52">
        <f t="shared" si="17"/>
        <v>11690</v>
      </c>
      <c r="AQ39" s="57">
        <f t="shared" si="18"/>
        <v>0.61734262779890159</v>
      </c>
      <c r="AR39" s="58">
        <f t="shared" si="19"/>
        <v>0.87637304604985222</v>
      </c>
    </row>
    <row r="40" spans="1:44" ht="30.75" customHeight="1">
      <c r="A40" s="28" t="s">
        <v>83</v>
      </c>
      <c r="B40" s="5"/>
      <c r="C40" s="29"/>
      <c r="D40" s="30"/>
      <c r="E40" s="30">
        <f t="shared" ref="E40:F40" si="46">E41+E42+E43</f>
        <v>661</v>
      </c>
      <c r="F40" s="30">
        <f t="shared" si="46"/>
        <v>634</v>
      </c>
      <c r="G40" s="31">
        <f t="shared" si="1"/>
        <v>0.9591527987897126</v>
      </c>
      <c r="H40" s="32"/>
      <c r="I40" s="33">
        <f t="shared" ref="I40:L54" si="47">N40+T40+Z40+AF40+AL40</f>
        <v>14460</v>
      </c>
      <c r="J40" s="33">
        <f t="shared" si="47"/>
        <v>9291</v>
      </c>
      <c r="K40" s="33">
        <f t="shared" si="47"/>
        <v>5279</v>
      </c>
      <c r="L40" s="33">
        <f t="shared" si="47"/>
        <v>3354</v>
      </c>
      <c r="M40" s="34">
        <f t="shared" si="3"/>
        <v>32384</v>
      </c>
      <c r="N40" s="33">
        <f>+SUM(N41:N43)</f>
        <v>830</v>
      </c>
      <c r="O40" s="35">
        <f t="shared" ref="O40:Q40" si="48">+SUM(O41:O43)</f>
        <v>151</v>
      </c>
      <c r="P40" s="35">
        <f t="shared" si="48"/>
        <v>16</v>
      </c>
      <c r="Q40" s="35">
        <f t="shared" si="48"/>
        <v>22</v>
      </c>
      <c r="R40" s="36">
        <f t="shared" si="5"/>
        <v>1019</v>
      </c>
      <c r="S40" s="39">
        <f t="shared" si="6"/>
        <v>3.1466156126482216E-2</v>
      </c>
      <c r="T40" s="60">
        <f>+SUM(T41:T43)</f>
        <v>2017</v>
      </c>
      <c r="U40" s="60">
        <f t="shared" ref="U40:W40" si="49">+SUM(U41:U43)</f>
        <v>501</v>
      </c>
      <c r="V40" s="60">
        <f t="shared" si="49"/>
        <v>131</v>
      </c>
      <c r="W40" s="60">
        <f t="shared" si="49"/>
        <v>20</v>
      </c>
      <c r="X40" s="38">
        <f t="shared" si="8"/>
        <v>2669</v>
      </c>
      <c r="Y40" s="39">
        <f t="shared" si="9"/>
        <v>8.2417243083003952E-2</v>
      </c>
      <c r="Z40" s="60">
        <f>+SUM(Z41:Z43)</f>
        <v>3115</v>
      </c>
      <c r="AA40" s="60">
        <f t="shared" ref="AA40:AC40" si="50">+SUM(AA41:AA43)</f>
        <v>1277</v>
      </c>
      <c r="AB40" s="60">
        <f t="shared" si="50"/>
        <v>426</v>
      </c>
      <c r="AC40" s="60">
        <f t="shared" si="50"/>
        <v>127</v>
      </c>
      <c r="AD40" s="38">
        <f t="shared" si="11"/>
        <v>4945</v>
      </c>
      <c r="AE40" s="39">
        <f t="shared" si="12"/>
        <v>0.15269886363636365</v>
      </c>
      <c r="AF40" s="60">
        <f>+SUM(AF41:AF43)</f>
        <v>3875</v>
      </c>
      <c r="AG40" s="60">
        <f t="shared" ref="AG40:AI40" si="51">+SUM(AG41:AG43)</f>
        <v>2638</v>
      </c>
      <c r="AH40" s="60">
        <f t="shared" si="51"/>
        <v>1235</v>
      </c>
      <c r="AI40" s="60">
        <f t="shared" si="51"/>
        <v>475</v>
      </c>
      <c r="AJ40" s="36">
        <f t="shared" si="14"/>
        <v>8223</v>
      </c>
      <c r="AK40" s="40">
        <f t="shared" si="15"/>
        <v>0.25392168972332013</v>
      </c>
      <c r="AL40" s="61">
        <f>+SUM(AL41:AL43)</f>
        <v>4623</v>
      </c>
      <c r="AM40" s="61">
        <f t="shared" ref="AM40:AO40" si="52">+SUM(AM41:AM43)</f>
        <v>4724</v>
      </c>
      <c r="AN40" s="61">
        <f t="shared" si="52"/>
        <v>3471</v>
      </c>
      <c r="AO40" s="61">
        <f t="shared" si="52"/>
        <v>2710</v>
      </c>
      <c r="AP40" s="36">
        <f t="shared" si="17"/>
        <v>15528</v>
      </c>
      <c r="AQ40" s="41">
        <f t="shared" si="18"/>
        <v>0.47949604743083002</v>
      </c>
      <c r="AR40" s="42">
        <f t="shared" si="19"/>
        <v>0.73341773715415015</v>
      </c>
    </row>
    <row r="41" spans="1:44" ht="30.75" customHeight="1">
      <c r="A41" s="43">
        <v>39</v>
      </c>
      <c r="B41" s="44" t="s">
        <v>84</v>
      </c>
      <c r="C41" s="44" t="s">
        <v>85</v>
      </c>
      <c r="D41" s="76">
        <v>46164</v>
      </c>
      <c r="E41" s="45">
        <v>440</v>
      </c>
      <c r="F41" s="46">
        <v>426</v>
      </c>
      <c r="G41" s="47">
        <f t="shared" si="1"/>
        <v>0.96818181818181814</v>
      </c>
      <c r="H41" s="48">
        <v>22279</v>
      </c>
      <c r="I41" s="49">
        <f t="shared" si="47"/>
        <v>9484</v>
      </c>
      <c r="J41" s="49">
        <f t="shared" si="47"/>
        <v>6334</v>
      </c>
      <c r="K41" s="49">
        <f t="shared" si="47"/>
        <v>3564</v>
      </c>
      <c r="L41" s="49">
        <f t="shared" si="47"/>
        <v>2351</v>
      </c>
      <c r="M41" s="50">
        <f t="shared" si="3"/>
        <v>21733</v>
      </c>
      <c r="N41" s="49">
        <v>508</v>
      </c>
      <c r="O41" s="51">
        <v>91</v>
      </c>
      <c r="P41" s="51">
        <v>11</v>
      </c>
      <c r="Q41" s="51">
        <v>22</v>
      </c>
      <c r="R41" s="52">
        <f t="shared" si="5"/>
        <v>632</v>
      </c>
      <c r="S41" s="55">
        <f t="shared" si="6"/>
        <v>2.9080200616573872E-2</v>
      </c>
      <c r="T41" s="63">
        <v>1354</v>
      </c>
      <c r="U41" s="63">
        <v>244</v>
      </c>
      <c r="V41" s="63">
        <v>53</v>
      </c>
      <c r="W41" s="63">
        <v>13</v>
      </c>
      <c r="X41" s="54">
        <f t="shared" si="8"/>
        <v>1664</v>
      </c>
      <c r="Y41" s="55">
        <f t="shared" si="9"/>
        <v>7.6565591496802102E-2</v>
      </c>
      <c r="Z41" s="63">
        <v>2044</v>
      </c>
      <c r="AA41" s="63">
        <v>801</v>
      </c>
      <c r="AB41" s="63">
        <v>289</v>
      </c>
      <c r="AC41" s="63">
        <v>78</v>
      </c>
      <c r="AD41" s="54">
        <f t="shared" si="11"/>
        <v>3212</v>
      </c>
      <c r="AE41" s="55">
        <f t="shared" si="12"/>
        <v>0.14779367781714445</v>
      </c>
      <c r="AF41" s="63">
        <v>2680</v>
      </c>
      <c r="AG41" s="63">
        <v>1805</v>
      </c>
      <c r="AH41" s="63">
        <v>797</v>
      </c>
      <c r="AI41" s="63">
        <v>336</v>
      </c>
      <c r="AJ41" s="52">
        <f t="shared" si="14"/>
        <v>5618</v>
      </c>
      <c r="AK41" s="56">
        <f t="shared" si="15"/>
        <v>0.25850089725302533</v>
      </c>
      <c r="AL41" s="64">
        <v>2898</v>
      </c>
      <c r="AM41" s="64">
        <v>3393</v>
      </c>
      <c r="AN41" s="64">
        <v>2414</v>
      </c>
      <c r="AO41" s="64">
        <v>1902</v>
      </c>
      <c r="AP41" s="52">
        <f t="shared" si="17"/>
        <v>10607</v>
      </c>
      <c r="AQ41" s="57">
        <f t="shared" si="18"/>
        <v>0.48805963281645426</v>
      </c>
      <c r="AR41" s="58">
        <f t="shared" si="19"/>
        <v>0.74656053006947953</v>
      </c>
    </row>
    <row r="42" spans="1:44" ht="30.75" customHeight="1">
      <c r="A42" s="43">
        <v>40</v>
      </c>
      <c r="B42" s="44" t="s">
        <v>84</v>
      </c>
      <c r="C42" s="44" t="s">
        <v>87</v>
      </c>
      <c r="D42" s="76">
        <v>46164</v>
      </c>
      <c r="E42" s="45">
        <v>86</v>
      </c>
      <c r="F42" s="46">
        <v>74</v>
      </c>
      <c r="G42" s="47">
        <f t="shared" si="1"/>
        <v>0.86046511627906974</v>
      </c>
      <c r="H42" s="48">
        <v>6509</v>
      </c>
      <c r="I42" s="49">
        <f t="shared" si="47"/>
        <v>2626</v>
      </c>
      <c r="J42" s="49">
        <f t="shared" si="47"/>
        <v>1390</v>
      </c>
      <c r="K42" s="49">
        <f t="shared" si="47"/>
        <v>741</v>
      </c>
      <c r="L42" s="49">
        <f t="shared" si="47"/>
        <v>378</v>
      </c>
      <c r="M42" s="50">
        <f t="shared" si="3"/>
        <v>5135</v>
      </c>
      <c r="N42" s="49">
        <v>251</v>
      </c>
      <c r="O42" s="51">
        <v>58</v>
      </c>
      <c r="P42" s="51">
        <v>5</v>
      </c>
      <c r="Q42" s="51">
        <v>0</v>
      </c>
      <c r="R42" s="52">
        <f t="shared" si="5"/>
        <v>314</v>
      </c>
      <c r="S42" s="55">
        <f t="shared" si="6"/>
        <v>6.1148977604673804E-2</v>
      </c>
      <c r="T42" s="63">
        <v>352</v>
      </c>
      <c r="U42" s="63">
        <v>185</v>
      </c>
      <c r="V42" s="63">
        <v>68</v>
      </c>
      <c r="W42" s="63">
        <v>7</v>
      </c>
      <c r="X42" s="54">
        <f t="shared" si="8"/>
        <v>612</v>
      </c>
      <c r="Y42" s="55">
        <f t="shared" si="9"/>
        <v>0.11918208373904576</v>
      </c>
      <c r="Z42" s="63">
        <v>433</v>
      </c>
      <c r="AA42" s="63">
        <v>270</v>
      </c>
      <c r="AB42" s="63">
        <v>80</v>
      </c>
      <c r="AC42" s="63">
        <v>21</v>
      </c>
      <c r="AD42" s="54">
        <f t="shared" si="11"/>
        <v>804</v>
      </c>
      <c r="AE42" s="55">
        <f t="shared" si="12"/>
        <v>0.15657254138266796</v>
      </c>
      <c r="AF42" s="63">
        <v>495</v>
      </c>
      <c r="AG42" s="63">
        <v>329</v>
      </c>
      <c r="AH42" s="63">
        <v>188</v>
      </c>
      <c r="AI42" s="63">
        <v>53</v>
      </c>
      <c r="AJ42" s="52">
        <f t="shared" si="14"/>
        <v>1065</v>
      </c>
      <c r="AK42" s="56">
        <f t="shared" si="15"/>
        <v>0.20740019474196689</v>
      </c>
      <c r="AL42" s="64">
        <v>1095</v>
      </c>
      <c r="AM42" s="64">
        <v>548</v>
      </c>
      <c r="AN42" s="64">
        <v>400</v>
      </c>
      <c r="AO42" s="64">
        <v>297</v>
      </c>
      <c r="AP42" s="52">
        <f t="shared" si="17"/>
        <v>2340</v>
      </c>
      <c r="AQ42" s="57">
        <f t="shared" si="18"/>
        <v>0.45569620253164556</v>
      </c>
      <c r="AR42" s="58">
        <f t="shared" si="19"/>
        <v>0.66309639727361247</v>
      </c>
    </row>
    <row r="43" spans="1:44" ht="30.75" customHeight="1">
      <c r="A43" s="43">
        <v>41</v>
      </c>
      <c r="B43" s="44" t="s">
        <v>84</v>
      </c>
      <c r="C43" s="44" t="s">
        <v>89</v>
      </c>
      <c r="D43" s="76">
        <v>46164</v>
      </c>
      <c r="E43" s="45">
        <v>135</v>
      </c>
      <c r="F43" s="46">
        <v>134</v>
      </c>
      <c r="G43" s="47">
        <f t="shared" si="1"/>
        <v>0.99259259259259258</v>
      </c>
      <c r="H43" s="48">
        <v>6367</v>
      </c>
      <c r="I43" s="49">
        <f t="shared" si="47"/>
        <v>2350</v>
      </c>
      <c r="J43" s="49">
        <f t="shared" si="47"/>
        <v>1567</v>
      </c>
      <c r="K43" s="49">
        <f t="shared" si="47"/>
        <v>974</v>
      </c>
      <c r="L43" s="49">
        <f t="shared" si="47"/>
        <v>625</v>
      </c>
      <c r="M43" s="50">
        <f t="shared" si="3"/>
        <v>5516</v>
      </c>
      <c r="N43" s="49">
        <v>71</v>
      </c>
      <c r="O43" s="51">
        <v>2</v>
      </c>
      <c r="P43" s="51">
        <v>0</v>
      </c>
      <c r="Q43" s="51">
        <v>0</v>
      </c>
      <c r="R43" s="52">
        <f t="shared" si="5"/>
        <v>73</v>
      </c>
      <c r="S43" s="55">
        <f t="shared" si="6"/>
        <v>1.3234227701232778E-2</v>
      </c>
      <c r="T43" s="63">
        <v>311</v>
      </c>
      <c r="U43" s="63">
        <v>72</v>
      </c>
      <c r="V43" s="63">
        <v>10</v>
      </c>
      <c r="W43" s="63">
        <v>0</v>
      </c>
      <c r="X43" s="54">
        <f t="shared" si="8"/>
        <v>393</v>
      </c>
      <c r="Y43" s="55">
        <f t="shared" si="9"/>
        <v>7.1247280638143576E-2</v>
      </c>
      <c r="Z43" s="63">
        <v>638</v>
      </c>
      <c r="AA43" s="63">
        <v>206</v>
      </c>
      <c r="AB43" s="63">
        <v>57</v>
      </c>
      <c r="AC43" s="63">
        <v>28</v>
      </c>
      <c r="AD43" s="54">
        <f t="shared" si="11"/>
        <v>929</v>
      </c>
      <c r="AE43" s="55">
        <f t="shared" si="12"/>
        <v>0.16841914430746918</v>
      </c>
      <c r="AF43" s="63">
        <v>700</v>
      </c>
      <c r="AG43" s="63">
        <v>504</v>
      </c>
      <c r="AH43" s="63">
        <v>250</v>
      </c>
      <c r="AI43" s="63">
        <v>86</v>
      </c>
      <c r="AJ43" s="52">
        <f t="shared" si="14"/>
        <v>1540</v>
      </c>
      <c r="AK43" s="56">
        <f t="shared" si="15"/>
        <v>0.27918781725888325</v>
      </c>
      <c r="AL43" s="64">
        <v>630</v>
      </c>
      <c r="AM43" s="64">
        <v>783</v>
      </c>
      <c r="AN43" s="64">
        <v>657</v>
      </c>
      <c r="AO43" s="64">
        <v>511</v>
      </c>
      <c r="AP43" s="52">
        <f t="shared" si="17"/>
        <v>2581</v>
      </c>
      <c r="AQ43" s="57">
        <f t="shared" si="18"/>
        <v>0.46791153009427122</v>
      </c>
      <c r="AR43" s="58">
        <f t="shared" si="19"/>
        <v>0.74709934735315442</v>
      </c>
    </row>
    <row r="44" spans="1:44" ht="30.75" customHeight="1">
      <c r="A44" s="28" t="s">
        <v>91</v>
      </c>
      <c r="B44" s="5"/>
      <c r="C44" s="29"/>
      <c r="D44" s="30"/>
      <c r="E44" s="30">
        <f t="shared" ref="E44:F44" si="53">E45+E46+E47</f>
        <v>670</v>
      </c>
      <c r="F44" s="30">
        <f t="shared" si="53"/>
        <v>670</v>
      </c>
      <c r="G44" s="31">
        <f t="shared" si="1"/>
        <v>1</v>
      </c>
      <c r="H44" s="32"/>
      <c r="I44" s="33">
        <f t="shared" si="47"/>
        <v>21597</v>
      </c>
      <c r="J44" s="33">
        <f t="shared" si="47"/>
        <v>19675</v>
      </c>
      <c r="K44" s="33">
        <f t="shared" si="47"/>
        <v>15861</v>
      </c>
      <c r="L44" s="33">
        <f t="shared" si="47"/>
        <v>11920</v>
      </c>
      <c r="M44" s="34">
        <f t="shared" si="3"/>
        <v>69053</v>
      </c>
      <c r="N44" s="33">
        <f>+SUM(N45:N47)</f>
        <v>979</v>
      </c>
      <c r="O44" s="35">
        <f t="shared" ref="O44:Q44" si="54">+SUM(O45:O47)</f>
        <v>179</v>
      </c>
      <c r="P44" s="35">
        <f t="shared" si="54"/>
        <v>34</v>
      </c>
      <c r="Q44" s="35">
        <f t="shared" si="54"/>
        <v>54</v>
      </c>
      <c r="R44" s="36">
        <f t="shared" si="5"/>
        <v>1246</v>
      </c>
      <c r="S44" s="39">
        <f t="shared" si="6"/>
        <v>1.8044111045139241E-2</v>
      </c>
      <c r="T44" s="60">
        <f>+SUM(T45:T47)</f>
        <v>3474</v>
      </c>
      <c r="U44" s="60">
        <f t="shared" ref="U44:W44" si="55">+SUM(U45:U47)</f>
        <v>1064</v>
      </c>
      <c r="V44" s="60">
        <f t="shared" si="55"/>
        <v>261</v>
      </c>
      <c r="W44" s="60">
        <f t="shared" si="55"/>
        <v>28</v>
      </c>
      <c r="X44" s="38">
        <f t="shared" si="8"/>
        <v>4827</v>
      </c>
      <c r="Y44" s="39">
        <f t="shared" si="9"/>
        <v>6.9902828262349212E-2</v>
      </c>
      <c r="Z44" s="60">
        <f>+SUM(Z45:Z47)</f>
        <v>6770</v>
      </c>
      <c r="AA44" s="60">
        <f t="shared" ref="AA44:AC44" si="56">+SUM(AA45:AA47)</f>
        <v>3397</v>
      </c>
      <c r="AB44" s="60">
        <f t="shared" si="56"/>
        <v>1141</v>
      </c>
      <c r="AC44" s="60">
        <f t="shared" si="56"/>
        <v>267</v>
      </c>
      <c r="AD44" s="38">
        <f t="shared" si="11"/>
        <v>11575</v>
      </c>
      <c r="AE44" s="39">
        <f t="shared" si="12"/>
        <v>0.16762486785512579</v>
      </c>
      <c r="AF44" s="60">
        <f>+SUM(AF45:AF47)</f>
        <v>6424</v>
      </c>
      <c r="AG44" s="60">
        <f t="shared" ref="AG44:AI44" si="57">+SUM(AG45:AG47)</f>
        <v>6364</v>
      </c>
      <c r="AH44" s="60">
        <f t="shared" si="57"/>
        <v>3863</v>
      </c>
      <c r="AI44" s="60">
        <f t="shared" si="57"/>
        <v>1607</v>
      </c>
      <c r="AJ44" s="36">
        <f t="shared" si="14"/>
        <v>18258</v>
      </c>
      <c r="AK44" s="40">
        <f t="shared" si="15"/>
        <v>0.26440560149450421</v>
      </c>
      <c r="AL44" s="61">
        <f>+SUM(AL45:AL47)</f>
        <v>3950</v>
      </c>
      <c r="AM44" s="61">
        <f t="shared" ref="AM44:AO44" si="58">+SUM(AM45:AM47)</f>
        <v>8671</v>
      </c>
      <c r="AN44" s="61">
        <f t="shared" si="58"/>
        <v>10562</v>
      </c>
      <c r="AO44" s="61">
        <f t="shared" si="58"/>
        <v>9964</v>
      </c>
      <c r="AP44" s="36">
        <f t="shared" si="17"/>
        <v>33147</v>
      </c>
      <c r="AQ44" s="41">
        <f t="shared" si="18"/>
        <v>0.48002259134288155</v>
      </c>
      <c r="AR44" s="42">
        <f t="shared" si="19"/>
        <v>0.7444281928373857</v>
      </c>
    </row>
    <row r="45" spans="1:44" ht="30.75" customHeight="1">
      <c r="A45" s="43">
        <v>42</v>
      </c>
      <c r="B45" s="44" t="s">
        <v>92</v>
      </c>
      <c r="C45" s="44" t="s">
        <v>93</v>
      </c>
      <c r="D45" s="76">
        <v>46164</v>
      </c>
      <c r="E45" s="45">
        <v>274</v>
      </c>
      <c r="F45" s="45">
        <v>274</v>
      </c>
      <c r="G45" s="47">
        <f t="shared" si="1"/>
        <v>1</v>
      </c>
      <c r="H45" s="48">
        <v>30875</v>
      </c>
      <c r="I45" s="49">
        <f t="shared" si="47"/>
        <v>8380</v>
      </c>
      <c r="J45" s="49">
        <f t="shared" si="47"/>
        <v>8109</v>
      </c>
      <c r="K45" s="49">
        <f t="shared" si="47"/>
        <v>6555</v>
      </c>
      <c r="L45" s="49">
        <f t="shared" si="47"/>
        <v>4963</v>
      </c>
      <c r="M45" s="50">
        <f t="shared" si="3"/>
        <v>28007</v>
      </c>
      <c r="N45" s="49">
        <v>481</v>
      </c>
      <c r="O45" s="51">
        <v>112</v>
      </c>
      <c r="P45" s="51">
        <v>24</v>
      </c>
      <c r="Q45" s="51">
        <v>18</v>
      </c>
      <c r="R45" s="52">
        <f t="shared" si="5"/>
        <v>635</v>
      </c>
      <c r="S45" s="55">
        <f t="shared" si="6"/>
        <v>2.2672903202770735E-2</v>
      </c>
      <c r="T45" s="63">
        <v>1678</v>
      </c>
      <c r="U45" s="63">
        <v>607</v>
      </c>
      <c r="V45" s="63">
        <v>157</v>
      </c>
      <c r="W45" s="63">
        <v>13</v>
      </c>
      <c r="X45" s="54">
        <f t="shared" si="8"/>
        <v>2455</v>
      </c>
      <c r="Y45" s="55">
        <f t="shared" si="9"/>
        <v>8.7656657264255367E-2</v>
      </c>
      <c r="Z45" s="63">
        <v>2920</v>
      </c>
      <c r="AA45" s="63">
        <v>1634</v>
      </c>
      <c r="AB45" s="63">
        <v>617</v>
      </c>
      <c r="AC45" s="63">
        <v>149</v>
      </c>
      <c r="AD45" s="54">
        <f t="shared" si="11"/>
        <v>5320</v>
      </c>
      <c r="AE45" s="55">
        <f t="shared" si="12"/>
        <v>0.18995251187203199</v>
      </c>
      <c r="AF45" s="63">
        <v>2208</v>
      </c>
      <c r="AG45" s="63">
        <v>2684</v>
      </c>
      <c r="AH45" s="63">
        <v>1816</v>
      </c>
      <c r="AI45" s="63">
        <v>902</v>
      </c>
      <c r="AJ45" s="52">
        <f t="shared" si="14"/>
        <v>7610</v>
      </c>
      <c r="AK45" s="56">
        <f t="shared" si="15"/>
        <v>0.27171778483950443</v>
      </c>
      <c r="AL45" s="64">
        <v>1093</v>
      </c>
      <c r="AM45" s="52">
        <v>3072</v>
      </c>
      <c r="AN45" s="52">
        <v>3941</v>
      </c>
      <c r="AO45" s="52">
        <v>3881</v>
      </c>
      <c r="AP45" s="52">
        <f t="shared" si="17"/>
        <v>11987</v>
      </c>
      <c r="AQ45" s="57">
        <f t="shared" si="18"/>
        <v>0.4280001428214375</v>
      </c>
      <c r="AR45" s="58">
        <f t="shared" si="19"/>
        <v>0.69971792766094199</v>
      </c>
    </row>
    <row r="46" spans="1:44" ht="30.75" customHeight="1">
      <c r="A46" s="43">
        <v>43</v>
      </c>
      <c r="B46" s="44" t="s">
        <v>92</v>
      </c>
      <c r="C46" s="44" t="s">
        <v>95</v>
      </c>
      <c r="D46" s="76">
        <v>46164</v>
      </c>
      <c r="E46" s="45">
        <v>206</v>
      </c>
      <c r="F46" s="45">
        <v>206</v>
      </c>
      <c r="G46" s="47">
        <f t="shared" si="1"/>
        <v>1</v>
      </c>
      <c r="H46" s="48">
        <v>22869</v>
      </c>
      <c r="I46" s="49">
        <f t="shared" si="47"/>
        <v>6346</v>
      </c>
      <c r="J46" s="49">
        <f t="shared" si="47"/>
        <v>5776</v>
      </c>
      <c r="K46" s="49">
        <f t="shared" si="47"/>
        <v>4600</v>
      </c>
      <c r="L46" s="49">
        <f t="shared" si="47"/>
        <v>3357</v>
      </c>
      <c r="M46" s="50">
        <f t="shared" si="3"/>
        <v>20079</v>
      </c>
      <c r="N46" s="49">
        <v>244</v>
      </c>
      <c r="O46" s="51">
        <v>28</v>
      </c>
      <c r="P46" s="51">
        <v>7</v>
      </c>
      <c r="Q46" s="51">
        <v>4</v>
      </c>
      <c r="R46" s="52">
        <f t="shared" si="5"/>
        <v>283</v>
      </c>
      <c r="S46" s="55">
        <f t="shared" si="6"/>
        <v>1.4094327406743363E-2</v>
      </c>
      <c r="T46" s="51">
        <v>939</v>
      </c>
      <c r="U46" s="63">
        <v>238</v>
      </c>
      <c r="V46" s="63">
        <v>47</v>
      </c>
      <c r="W46" s="63">
        <v>6</v>
      </c>
      <c r="X46" s="54">
        <f t="shared" si="8"/>
        <v>1230</v>
      </c>
      <c r="Y46" s="55">
        <f t="shared" si="9"/>
        <v>6.1258030778425218E-2</v>
      </c>
      <c r="Z46" s="51">
        <v>1934</v>
      </c>
      <c r="AA46" s="51">
        <v>929</v>
      </c>
      <c r="AB46" s="63">
        <v>282</v>
      </c>
      <c r="AC46" s="63">
        <v>60</v>
      </c>
      <c r="AD46" s="54">
        <f t="shared" si="11"/>
        <v>3205</v>
      </c>
      <c r="AE46" s="55">
        <f t="shared" si="12"/>
        <v>0.159619502963295</v>
      </c>
      <c r="AF46" s="51">
        <v>2037</v>
      </c>
      <c r="AG46" s="51">
        <v>1969</v>
      </c>
      <c r="AH46" s="51">
        <v>1038</v>
      </c>
      <c r="AI46" s="63">
        <v>401</v>
      </c>
      <c r="AJ46" s="52">
        <f t="shared" si="14"/>
        <v>5445</v>
      </c>
      <c r="AK46" s="56">
        <f t="shared" si="15"/>
        <v>0.27117884356790678</v>
      </c>
      <c r="AL46" s="52">
        <v>1192</v>
      </c>
      <c r="AM46" s="52">
        <v>2612</v>
      </c>
      <c r="AN46" s="52">
        <v>3226</v>
      </c>
      <c r="AO46" s="52">
        <v>2886</v>
      </c>
      <c r="AP46" s="52">
        <f t="shared" si="17"/>
        <v>9916</v>
      </c>
      <c r="AQ46" s="57">
        <f t="shared" si="18"/>
        <v>0.49384929528362964</v>
      </c>
      <c r="AR46" s="58">
        <f t="shared" si="19"/>
        <v>0.76502813885153642</v>
      </c>
    </row>
    <row r="47" spans="1:44" ht="30.75" customHeight="1">
      <c r="A47" s="43">
        <v>44</v>
      </c>
      <c r="B47" s="44" t="s">
        <v>92</v>
      </c>
      <c r="C47" s="44" t="s">
        <v>97</v>
      </c>
      <c r="D47" s="76">
        <v>46164</v>
      </c>
      <c r="E47" s="45">
        <v>190</v>
      </c>
      <c r="F47" s="45">
        <v>190</v>
      </c>
      <c r="G47" s="47">
        <f t="shared" si="1"/>
        <v>1</v>
      </c>
      <c r="H47" s="48">
        <v>26294</v>
      </c>
      <c r="I47" s="49">
        <f t="shared" si="47"/>
        <v>6871</v>
      </c>
      <c r="J47" s="49">
        <f t="shared" si="47"/>
        <v>5790</v>
      </c>
      <c r="K47" s="49">
        <f t="shared" si="47"/>
        <v>4706</v>
      </c>
      <c r="L47" s="49">
        <f t="shared" si="47"/>
        <v>3600</v>
      </c>
      <c r="M47" s="50">
        <f t="shared" si="3"/>
        <v>20967</v>
      </c>
      <c r="N47" s="49">
        <v>254</v>
      </c>
      <c r="O47" s="51">
        <v>39</v>
      </c>
      <c r="P47" s="51">
        <v>3</v>
      </c>
      <c r="Q47" s="51">
        <v>32</v>
      </c>
      <c r="R47" s="52">
        <f t="shared" si="5"/>
        <v>328</v>
      </c>
      <c r="S47" s="55">
        <f t="shared" si="6"/>
        <v>1.5643630466924213E-2</v>
      </c>
      <c r="T47" s="63">
        <v>857</v>
      </c>
      <c r="U47" s="51">
        <v>219</v>
      </c>
      <c r="V47" s="51">
        <v>57</v>
      </c>
      <c r="W47" s="63">
        <v>9</v>
      </c>
      <c r="X47" s="54">
        <f t="shared" si="8"/>
        <v>1142</v>
      </c>
      <c r="Y47" s="55">
        <f t="shared" si="9"/>
        <v>5.4466542662278822E-2</v>
      </c>
      <c r="Z47" s="51">
        <v>1916</v>
      </c>
      <c r="AA47" s="63">
        <v>834</v>
      </c>
      <c r="AB47" s="51">
        <v>242</v>
      </c>
      <c r="AC47" s="63">
        <v>58</v>
      </c>
      <c r="AD47" s="54">
        <f t="shared" si="11"/>
        <v>3050</v>
      </c>
      <c r="AE47" s="55">
        <f t="shared" si="12"/>
        <v>0.1454666857442648</v>
      </c>
      <c r="AF47" s="63">
        <v>2179</v>
      </c>
      <c r="AG47" s="63">
        <v>1711</v>
      </c>
      <c r="AH47" s="63">
        <v>1009</v>
      </c>
      <c r="AI47" s="63">
        <v>304</v>
      </c>
      <c r="AJ47" s="52">
        <f t="shared" si="14"/>
        <v>5203</v>
      </c>
      <c r="AK47" s="56">
        <f t="shared" si="15"/>
        <v>0.24815185768111794</v>
      </c>
      <c r="AL47" s="64">
        <v>1665</v>
      </c>
      <c r="AM47" s="64">
        <v>2987</v>
      </c>
      <c r="AN47" s="52">
        <v>3395</v>
      </c>
      <c r="AO47" s="52">
        <v>3197</v>
      </c>
      <c r="AP47" s="52">
        <f t="shared" si="17"/>
        <v>11244</v>
      </c>
      <c r="AQ47" s="57">
        <f t="shared" si="18"/>
        <v>0.53627128344541419</v>
      </c>
      <c r="AR47" s="58">
        <f t="shared" si="19"/>
        <v>0.78442314112653211</v>
      </c>
    </row>
    <row r="48" spans="1:44" ht="30.75" customHeight="1">
      <c r="A48" s="28" t="s">
        <v>99</v>
      </c>
      <c r="B48" s="5"/>
      <c r="C48" s="29"/>
      <c r="D48" s="30"/>
      <c r="E48" s="30">
        <f t="shared" ref="E48:F48" si="59">E49+E50+E51+E52+E53</f>
        <v>460</v>
      </c>
      <c r="F48" s="30">
        <f t="shared" si="59"/>
        <v>398</v>
      </c>
      <c r="G48" s="31">
        <f t="shared" si="1"/>
        <v>0.86521739130434783</v>
      </c>
      <c r="H48" s="32"/>
      <c r="I48" s="33">
        <f t="shared" si="47"/>
        <v>11997</v>
      </c>
      <c r="J48" s="33">
        <f t="shared" si="47"/>
        <v>7106</v>
      </c>
      <c r="K48" s="33">
        <f t="shared" si="47"/>
        <v>3772</v>
      </c>
      <c r="L48" s="33">
        <f t="shared" si="47"/>
        <v>2498</v>
      </c>
      <c r="M48" s="34">
        <f t="shared" si="3"/>
        <v>25373</v>
      </c>
      <c r="N48" s="33">
        <f>+SUM(N49:N53)</f>
        <v>817</v>
      </c>
      <c r="O48" s="35">
        <f t="shared" ref="O48:Q48" si="60">+SUM(O49:O53)</f>
        <v>126</v>
      </c>
      <c r="P48" s="35">
        <f t="shared" si="60"/>
        <v>14</v>
      </c>
      <c r="Q48" s="35">
        <f t="shared" si="60"/>
        <v>0</v>
      </c>
      <c r="R48" s="36">
        <f t="shared" si="5"/>
        <v>957</v>
      </c>
      <c r="S48" s="39">
        <f t="shared" si="6"/>
        <v>3.7717258503133254E-2</v>
      </c>
      <c r="T48" s="60">
        <f>+SUM(T49:T53)</f>
        <v>1962</v>
      </c>
      <c r="U48" s="60">
        <f t="shared" ref="U48:W48" si="61">+SUM(U49:U53)</f>
        <v>584</v>
      </c>
      <c r="V48" s="60">
        <f t="shared" si="61"/>
        <v>89</v>
      </c>
      <c r="W48" s="60">
        <f t="shared" si="61"/>
        <v>28</v>
      </c>
      <c r="X48" s="38">
        <f t="shared" si="8"/>
        <v>2663</v>
      </c>
      <c r="Y48" s="39">
        <f t="shared" si="9"/>
        <v>0.10495408505103851</v>
      </c>
      <c r="Z48" s="60">
        <f>+SUM(Z49:Z53)</f>
        <v>3741</v>
      </c>
      <c r="AA48" s="60">
        <f t="shared" ref="AA48:AC48" si="62">+SUM(AA49:AA53)</f>
        <v>1487</v>
      </c>
      <c r="AB48" s="60">
        <f t="shared" si="62"/>
        <v>358</v>
      </c>
      <c r="AC48" s="60">
        <f t="shared" si="62"/>
        <v>103</v>
      </c>
      <c r="AD48" s="38">
        <f t="shared" si="11"/>
        <v>5689</v>
      </c>
      <c r="AE48" s="39">
        <f t="shared" si="12"/>
        <v>0.2242147164308517</v>
      </c>
      <c r="AF48" s="60">
        <f>+SUM(AF49:AF53)</f>
        <v>3215</v>
      </c>
      <c r="AG48" s="60">
        <f t="shared" ref="AG48:AI48" si="63">+SUM(AG49:AG53)</f>
        <v>2067</v>
      </c>
      <c r="AH48" s="60">
        <f t="shared" si="63"/>
        <v>1136</v>
      </c>
      <c r="AI48" s="60">
        <f t="shared" si="63"/>
        <v>671</v>
      </c>
      <c r="AJ48" s="36">
        <f t="shared" si="14"/>
        <v>7089</v>
      </c>
      <c r="AK48" s="40">
        <f t="shared" si="15"/>
        <v>0.27939147913136009</v>
      </c>
      <c r="AL48" s="61">
        <f>+SUM(AL49:AL53)</f>
        <v>2262</v>
      </c>
      <c r="AM48" s="61">
        <f t="shared" ref="AM48:AO48" si="64">+SUM(AM49:AM53)</f>
        <v>2842</v>
      </c>
      <c r="AN48" s="61">
        <f t="shared" si="64"/>
        <v>2175</v>
      </c>
      <c r="AO48" s="61">
        <f t="shared" si="64"/>
        <v>1696</v>
      </c>
      <c r="AP48" s="36">
        <f t="shared" si="17"/>
        <v>8975</v>
      </c>
      <c r="AQ48" s="41">
        <f t="shared" si="18"/>
        <v>0.35372246088361642</v>
      </c>
      <c r="AR48" s="42">
        <f t="shared" si="19"/>
        <v>0.63311394001497656</v>
      </c>
    </row>
    <row r="49" spans="1:44" ht="30.75" customHeight="1">
      <c r="A49" s="43">
        <v>45</v>
      </c>
      <c r="B49" s="44" t="s">
        <v>100</v>
      </c>
      <c r="C49" s="44" t="s">
        <v>101</v>
      </c>
      <c r="D49" s="45"/>
      <c r="E49" s="45">
        <v>105</v>
      </c>
      <c r="F49" s="46">
        <v>56</v>
      </c>
      <c r="G49" s="47">
        <f t="shared" si="1"/>
        <v>0.53333333333333333</v>
      </c>
      <c r="H49" s="48">
        <v>9193</v>
      </c>
      <c r="I49" s="49">
        <f t="shared" si="47"/>
        <v>3363</v>
      </c>
      <c r="J49" s="49">
        <f t="shared" si="47"/>
        <v>2493</v>
      </c>
      <c r="K49" s="49">
        <f t="shared" si="47"/>
        <v>1671</v>
      </c>
      <c r="L49" s="49">
        <f t="shared" si="47"/>
        <v>1265</v>
      </c>
      <c r="M49" s="50">
        <f t="shared" si="3"/>
        <v>8792</v>
      </c>
      <c r="N49" s="49">
        <v>454</v>
      </c>
      <c r="O49" s="51">
        <v>68</v>
      </c>
      <c r="P49" s="51">
        <v>6</v>
      </c>
      <c r="Q49" s="51">
        <v>0</v>
      </c>
      <c r="R49" s="52">
        <f t="shared" si="5"/>
        <v>528</v>
      </c>
      <c r="S49" s="55">
        <f t="shared" si="6"/>
        <v>6.0054595086442217E-2</v>
      </c>
      <c r="T49" s="63">
        <v>728</v>
      </c>
      <c r="U49" s="63">
        <v>332</v>
      </c>
      <c r="V49" s="63">
        <v>61</v>
      </c>
      <c r="W49" s="63">
        <v>6</v>
      </c>
      <c r="X49" s="54">
        <f t="shared" si="8"/>
        <v>1127</v>
      </c>
      <c r="Y49" s="55">
        <f t="shared" si="9"/>
        <v>0.12818471337579618</v>
      </c>
      <c r="Z49" s="63">
        <v>1125</v>
      </c>
      <c r="AA49" s="63">
        <v>689</v>
      </c>
      <c r="AB49" s="63">
        <v>245</v>
      </c>
      <c r="AC49" s="63">
        <v>77</v>
      </c>
      <c r="AD49" s="54">
        <f t="shared" si="11"/>
        <v>2136</v>
      </c>
      <c r="AE49" s="55">
        <f t="shared" si="12"/>
        <v>0.2429481346678799</v>
      </c>
      <c r="AF49" s="63">
        <v>668</v>
      </c>
      <c r="AG49" s="63">
        <v>718</v>
      </c>
      <c r="AH49" s="63">
        <v>596</v>
      </c>
      <c r="AI49" s="63">
        <v>443</v>
      </c>
      <c r="AJ49" s="52">
        <f t="shared" si="14"/>
        <v>2425</v>
      </c>
      <c r="AK49" s="56">
        <f t="shared" si="15"/>
        <v>0.27581892629663329</v>
      </c>
      <c r="AL49" s="64">
        <v>388</v>
      </c>
      <c r="AM49" s="64">
        <v>686</v>
      </c>
      <c r="AN49" s="64">
        <v>763</v>
      </c>
      <c r="AO49" s="64">
        <v>739</v>
      </c>
      <c r="AP49" s="52">
        <f t="shared" si="17"/>
        <v>2576</v>
      </c>
      <c r="AQ49" s="57">
        <f t="shared" si="18"/>
        <v>0.2929936305732484</v>
      </c>
      <c r="AR49" s="58">
        <f t="shared" si="19"/>
        <v>0.56881255686988164</v>
      </c>
    </row>
    <row r="50" spans="1:44" ht="30.75" customHeight="1">
      <c r="A50" s="43">
        <v>46</v>
      </c>
      <c r="B50" s="44" t="s">
        <v>100</v>
      </c>
      <c r="C50" s="44" t="s">
        <v>103</v>
      </c>
      <c r="D50" s="45"/>
      <c r="E50" s="45">
        <v>135</v>
      </c>
      <c r="F50" s="46">
        <v>124</v>
      </c>
      <c r="G50" s="47">
        <f t="shared" si="1"/>
        <v>0.91851851851851851</v>
      </c>
      <c r="H50" s="48">
        <v>6762</v>
      </c>
      <c r="I50" s="49">
        <f t="shared" si="47"/>
        <v>2545</v>
      </c>
      <c r="J50" s="49">
        <f t="shared" si="47"/>
        <v>1593</v>
      </c>
      <c r="K50" s="49">
        <f t="shared" si="47"/>
        <v>756</v>
      </c>
      <c r="L50" s="49">
        <f t="shared" si="47"/>
        <v>346</v>
      </c>
      <c r="M50" s="50">
        <f t="shared" si="3"/>
        <v>5240</v>
      </c>
      <c r="N50" s="49">
        <v>71</v>
      </c>
      <c r="O50" s="51">
        <v>37</v>
      </c>
      <c r="P50" s="51">
        <v>0</v>
      </c>
      <c r="Q50" s="51">
        <v>0</v>
      </c>
      <c r="R50" s="52">
        <f t="shared" si="5"/>
        <v>108</v>
      </c>
      <c r="S50" s="55">
        <f t="shared" si="6"/>
        <v>2.0610687022900764E-2</v>
      </c>
      <c r="T50" s="63">
        <v>383</v>
      </c>
      <c r="U50" s="63">
        <v>104</v>
      </c>
      <c r="V50" s="63">
        <v>7</v>
      </c>
      <c r="W50" s="63">
        <v>1</v>
      </c>
      <c r="X50" s="54">
        <f t="shared" si="8"/>
        <v>495</v>
      </c>
      <c r="Y50" s="55">
        <f t="shared" si="9"/>
        <v>9.4465648854961837E-2</v>
      </c>
      <c r="Z50" s="63">
        <v>689</v>
      </c>
      <c r="AA50" s="63">
        <v>231</v>
      </c>
      <c r="AB50" s="63">
        <v>28</v>
      </c>
      <c r="AC50" s="63">
        <v>1</v>
      </c>
      <c r="AD50" s="54">
        <f t="shared" si="11"/>
        <v>949</v>
      </c>
      <c r="AE50" s="55">
        <f t="shared" si="12"/>
        <v>0.18110687022900762</v>
      </c>
      <c r="AF50" s="63">
        <v>685</v>
      </c>
      <c r="AG50" s="63">
        <v>429</v>
      </c>
      <c r="AH50" s="63">
        <v>152</v>
      </c>
      <c r="AI50" s="63">
        <v>34</v>
      </c>
      <c r="AJ50" s="52">
        <f t="shared" si="14"/>
        <v>1300</v>
      </c>
      <c r="AK50" s="56">
        <f t="shared" si="15"/>
        <v>0.24809160305343511</v>
      </c>
      <c r="AL50" s="64">
        <v>717</v>
      </c>
      <c r="AM50" s="64">
        <v>792</v>
      </c>
      <c r="AN50" s="64">
        <v>569</v>
      </c>
      <c r="AO50" s="64">
        <v>310</v>
      </c>
      <c r="AP50" s="52">
        <f t="shared" si="17"/>
        <v>2388</v>
      </c>
      <c r="AQ50" s="57">
        <f t="shared" si="18"/>
        <v>0.45572519083969465</v>
      </c>
      <c r="AR50" s="58">
        <f t="shared" si="19"/>
        <v>0.70381679389312979</v>
      </c>
    </row>
    <row r="51" spans="1:44" ht="30.75" customHeight="1">
      <c r="A51" s="43">
        <v>47</v>
      </c>
      <c r="B51" s="44" t="s">
        <v>100</v>
      </c>
      <c r="C51" s="44" t="s">
        <v>105</v>
      </c>
      <c r="D51" s="45"/>
      <c r="E51" s="45">
        <v>73</v>
      </c>
      <c r="F51" s="46">
        <v>72</v>
      </c>
      <c r="G51" s="47">
        <f t="shared" si="1"/>
        <v>0.98630136986301364</v>
      </c>
      <c r="H51" s="48">
        <v>3196</v>
      </c>
      <c r="I51" s="49">
        <f t="shared" si="47"/>
        <v>1607</v>
      </c>
      <c r="J51" s="49">
        <f t="shared" si="47"/>
        <v>713</v>
      </c>
      <c r="K51" s="49">
        <f t="shared" si="47"/>
        <v>299</v>
      </c>
      <c r="L51" s="49">
        <f t="shared" si="47"/>
        <v>237</v>
      </c>
      <c r="M51" s="50">
        <f t="shared" si="3"/>
        <v>2856</v>
      </c>
      <c r="N51" s="49">
        <v>120</v>
      </c>
      <c r="O51" s="51">
        <v>8</v>
      </c>
      <c r="P51" s="51">
        <v>0</v>
      </c>
      <c r="Q51" s="51">
        <v>0</v>
      </c>
      <c r="R51" s="52">
        <f t="shared" si="5"/>
        <v>128</v>
      </c>
      <c r="S51" s="55">
        <f t="shared" si="6"/>
        <v>4.4817927170868348E-2</v>
      </c>
      <c r="T51" s="63">
        <v>274</v>
      </c>
      <c r="U51" s="63">
        <v>58</v>
      </c>
      <c r="V51" s="63">
        <v>5</v>
      </c>
      <c r="W51" s="63">
        <v>5</v>
      </c>
      <c r="X51" s="54">
        <f t="shared" si="8"/>
        <v>342</v>
      </c>
      <c r="Y51" s="55">
        <f t="shared" si="9"/>
        <v>0.11974789915966387</v>
      </c>
      <c r="Z51" s="63">
        <v>456</v>
      </c>
      <c r="AA51" s="63">
        <v>127</v>
      </c>
      <c r="AB51" s="63">
        <v>26</v>
      </c>
      <c r="AC51" s="63">
        <v>14</v>
      </c>
      <c r="AD51" s="54">
        <f t="shared" si="11"/>
        <v>623</v>
      </c>
      <c r="AE51" s="55">
        <f t="shared" si="12"/>
        <v>0.21813725490196079</v>
      </c>
      <c r="AF51" s="63">
        <v>379</v>
      </c>
      <c r="AG51" s="63">
        <v>210</v>
      </c>
      <c r="AH51" s="63">
        <v>97</v>
      </c>
      <c r="AI51" s="63">
        <v>69</v>
      </c>
      <c r="AJ51" s="52">
        <f t="shared" si="14"/>
        <v>755</v>
      </c>
      <c r="AK51" s="56">
        <f t="shared" si="15"/>
        <v>0.26435574229691877</v>
      </c>
      <c r="AL51" s="64">
        <v>378</v>
      </c>
      <c r="AM51" s="64">
        <v>310</v>
      </c>
      <c r="AN51" s="64">
        <v>171</v>
      </c>
      <c r="AO51" s="64">
        <v>149</v>
      </c>
      <c r="AP51" s="52">
        <f t="shared" si="17"/>
        <v>1008</v>
      </c>
      <c r="AQ51" s="57">
        <f t="shared" si="18"/>
        <v>0.35294117647058826</v>
      </c>
      <c r="AR51" s="58">
        <f t="shared" si="19"/>
        <v>0.61729691876750703</v>
      </c>
    </row>
    <row r="52" spans="1:44" ht="30.75" customHeight="1">
      <c r="A52" s="43">
        <v>48</v>
      </c>
      <c r="B52" s="44" t="s">
        <v>100</v>
      </c>
      <c r="C52" s="44" t="s">
        <v>107</v>
      </c>
      <c r="D52" s="45"/>
      <c r="E52" s="45">
        <v>64</v>
      </c>
      <c r="F52" s="46">
        <v>64</v>
      </c>
      <c r="G52" s="47">
        <f t="shared" si="1"/>
        <v>1</v>
      </c>
      <c r="H52" s="48">
        <v>3726</v>
      </c>
      <c r="I52" s="49">
        <f t="shared" si="47"/>
        <v>1533</v>
      </c>
      <c r="J52" s="49">
        <f t="shared" si="47"/>
        <v>733</v>
      </c>
      <c r="K52" s="49">
        <f t="shared" si="47"/>
        <v>344</v>
      </c>
      <c r="L52" s="49">
        <f t="shared" si="47"/>
        <v>260</v>
      </c>
      <c r="M52" s="50">
        <f t="shared" si="3"/>
        <v>2870</v>
      </c>
      <c r="N52" s="49">
        <v>81</v>
      </c>
      <c r="O52" s="51">
        <v>10</v>
      </c>
      <c r="P52" s="51">
        <v>3</v>
      </c>
      <c r="Q52" s="51">
        <v>0</v>
      </c>
      <c r="R52" s="52">
        <f t="shared" si="5"/>
        <v>94</v>
      </c>
      <c r="S52" s="55">
        <f t="shared" si="6"/>
        <v>3.2752613240418116E-2</v>
      </c>
      <c r="T52" s="63">
        <v>197</v>
      </c>
      <c r="U52" s="63">
        <v>29</v>
      </c>
      <c r="V52" s="63">
        <v>2</v>
      </c>
      <c r="W52" s="63">
        <v>12</v>
      </c>
      <c r="X52" s="54">
        <f t="shared" si="8"/>
        <v>240</v>
      </c>
      <c r="Y52" s="55">
        <f t="shared" si="9"/>
        <v>8.3623693379790948E-2</v>
      </c>
      <c r="Z52" s="63">
        <v>433</v>
      </c>
      <c r="AA52" s="63">
        <v>109</v>
      </c>
      <c r="AB52" s="63">
        <v>17</v>
      </c>
      <c r="AC52" s="63">
        <v>5</v>
      </c>
      <c r="AD52" s="54">
        <f t="shared" si="11"/>
        <v>564</v>
      </c>
      <c r="AE52" s="55">
        <f t="shared" si="12"/>
        <v>0.19651567944250872</v>
      </c>
      <c r="AF52" s="63">
        <v>603</v>
      </c>
      <c r="AG52" s="63">
        <v>244</v>
      </c>
      <c r="AH52" s="63">
        <v>78</v>
      </c>
      <c r="AI52" s="63">
        <v>66</v>
      </c>
      <c r="AJ52" s="52">
        <f t="shared" si="14"/>
        <v>991</v>
      </c>
      <c r="AK52" s="56">
        <f t="shared" si="15"/>
        <v>0.34529616724738676</v>
      </c>
      <c r="AL52" s="64">
        <v>219</v>
      </c>
      <c r="AM52" s="64">
        <v>341</v>
      </c>
      <c r="AN52" s="64">
        <v>244</v>
      </c>
      <c r="AO52" s="64">
        <v>177</v>
      </c>
      <c r="AP52" s="52">
        <f t="shared" si="17"/>
        <v>981</v>
      </c>
      <c r="AQ52" s="57">
        <f t="shared" si="18"/>
        <v>0.34181184668989545</v>
      </c>
      <c r="AR52" s="58">
        <f t="shared" si="19"/>
        <v>0.68710801393728227</v>
      </c>
    </row>
    <row r="53" spans="1:44" ht="30.75" customHeight="1">
      <c r="A53" s="43">
        <v>49</v>
      </c>
      <c r="B53" s="44" t="s">
        <v>100</v>
      </c>
      <c r="C53" s="44" t="s">
        <v>109</v>
      </c>
      <c r="D53" s="45"/>
      <c r="E53" s="45">
        <v>83</v>
      </c>
      <c r="F53" s="46">
        <v>82</v>
      </c>
      <c r="G53" s="47">
        <f t="shared" si="1"/>
        <v>0.98795180722891562</v>
      </c>
      <c r="H53" s="48">
        <v>7311</v>
      </c>
      <c r="I53" s="49">
        <f t="shared" si="47"/>
        <v>2949</v>
      </c>
      <c r="J53" s="49">
        <f t="shared" si="47"/>
        <v>1574</v>
      </c>
      <c r="K53" s="49">
        <f t="shared" si="47"/>
        <v>702</v>
      </c>
      <c r="L53" s="49">
        <f t="shared" si="47"/>
        <v>390</v>
      </c>
      <c r="M53" s="50">
        <f t="shared" si="3"/>
        <v>5615</v>
      </c>
      <c r="N53" s="49">
        <v>91</v>
      </c>
      <c r="O53" s="51">
        <v>3</v>
      </c>
      <c r="P53" s="51">
        <v>5</v>
      </c>
      <c r="Q53" s="51">
        <v>0</v>
      </c>
      <c r="R53" s="52">
        <f t="shared" si="5"/>
        <v>99</v>
      </c>
      <c r="S53" s="55">
        <f t="shared" si="6"/>
        <v>1.7631344612644703E-2</v>
      </c>
      <c r="T53" s="63">
        <v>380</v>
      </c>
      <c r="U53" s="63">
        <v>61</v>
      </c>
      <c r="V53" s="63">
        <v>14</v>
      </c>
      <c r="W53" s="63">
        <v>4</v>
      </c>
      <c r="X53" s="54">
        <f t="shared" si="8"/>
        <v>459</v>
      </c>
      <c r="Y53" s="55">
        <f t="shared" si="9"/>
        <v>8.1745325022261797E-2</v>
      </c>
      <c r="Z53" s="63">
        <v>1038</v>
      </c>
      <c r="AA53" s="63">
        <v>331</v>
      </c>
      <c r="AB53" s="63">
        <v>42</v>
      </c>
      <c r="AC53" s="63">
        <v>6</v>
      </c>
      <c r="AD53" s="54">
        <f t="shared" si="11"/>
        <v>1417</v>
      </c>
      <c r="AE53" s="55">
        <f t="shared" si="12"/>
        <v>0.25235975066785399</v>
      </c>
      <c r="AF53" s="63">
        <v>880</v>
      </c>
      <c r="AG53" s="63">
        <v>466</v>
      </c>
      <c r="AH53" s="63">
        <v>213</v>
      </c>
      <c r="AI53" s="63">
        <v>59</v>
      </c>
      <c r="AJ53" s="52">
        <f t="shared" si="14"/>
        <v>1618</v>
      </c>
      <c r="AK53" s="56">
        <f t="shared" si="15"/>
        <v>0.28815672306322349</v>
      </c>
      <c r="AL53" s="64">
        <v>560</v>
      </c>
      <c r="AM53" s="64">
        <v>713</v>
      </c>
      <c r="AN53" s="64">
        <v>428</v>
      </c>
      <c r="AO53" s="64">
        <v>321</v>
      </c>
      <c r="AP53" s="52">
        <f t="shared" si="17"/>
        <v>2022</v>
      </c>
      <c r="AQ53" s="57">
        <f t="shared" si="18"/>
        <v>0.36010685663401604</v>
      </c>
      <c r="AR53" s="58">
        <f t="shared" si="19"/>
        <v>0.64826357969723958</v>
      </c>
    </row>
    <row r="54" spans="1:44" ht="30.75" customHeight="1">
      <c r="A54" s="28" t="s">
        <v>111</v>
      </c>
      <c r="B54" s="5"/>
      <c r="C54" s="29"/>
      <c r="D54" s="30"/>
      <c r="E54" s="30">
        <f t="shared" ref="E54:F54" si="65">E55+E56</f>
        <v>633</v>
      </c>
      <c r="F54" s="30">
        <f t="shared" si="65"/>
        <v>618</v>
      </c>
      <c r="G54" s="31">
        <f t="shared" si="1"/>
        <v>0.976303317535545</v>
      </c>
      <c r="H54" s="32"/>
      <c r="I54" s="33">
        <f t="shared" si="47"/>
        <v>17772</v>
      </c>
      <c r="J54" s="33">
        <f t="shared" si="47"/>
        <v>13311</v>
      </c>
      <c r="K54" s="33">
        <f t="shared" si="47"/>
        <v>11201</v>
      </c>
      <c r="L54" s="33">
        <f t="shared" si="47"/>
        <v>10996</v>
      </c>
      <c r="M54" s="34">
        <f t="shared" si="3"/>
        <v>53280</v>
      </c>
      <c r="N54" s="33">
        <f>+SUM(N55:N56)</f>
        <v>1232</v>
      </c>
      <c r="O54" s="35">
        <f t="shared" ref="O54:Q54" si="66">+SUM(O55:O56)</f>
        <v>447</v>
      </c>
      <c r="P54" s="35">
        <f t="shared" si="66"/>
        <v>178</v>
      </c>
      <c r="Q54" s="35">
        <f t="shared" si="66"/>
        <v>108</v>
      </c>
      <c r="R54" s="36">
        <f t="shared" si="5"/>
        <v>1965</v>
      </c>
      <c r="S54" s="39">
        <f t="shared" si="6"/>
        <v>3.6880630630630629E-2</v>
      </c>
      <c r="T54" s="60">
        <f>+SUM(T55:T56)</f>
        <v>4391</v>
      </c>
      <c r="U54" s="60">
        <f t="shared" ref="U54:W54" si="67">+SUM(U55:U56)</f>
        <v>1519</v>
      </c>
      <c r="V54" s="60">
        <f t="shared" si="67"/>
        <v>463</v>
      </c>
      <c r="W54" s="60">
        <f t="shared" si="67"/>
        <v>297</v>
      </c>
      <c r="X54" s="38">
        <f t="shared" si="8"/>
        <v>6670</v>
      </c>
      <c r="Y54" s="39">
        <f t="shared" si="9"/>
        <v>0.12518768768768768</v>
      </c>
      <c r="Z54" s="60">
        <f>+SUM(Z55:Z56)</f>
        <v>6517</v>
      </c>
      <c r="AA54" s="60">
        <f t="shared" ref="AA54:AC54" si="68">+SUM(AA55:AA56)</f>
        <v>3023</v>
      </c>
      <c r="AB54" s="60">
        <f t="shared" si="68"/>
        <v>1013</v>
      </c>
      <c r="AC54" s="60">
        <f t="shared" si="68"/>
        <v>412</v>
      </c>
      <c r="AD54" s="38">
        <f t="shared" si="11"/>
        <v>10965</v>
      </c>
      <c r="AE54" s="39">
        <f t="shared" si="12"/>
        <v>0.20579954954954954</v>
      </c>
      <c r="AF54" s="60">
        <f>+SUM(AF55:AF56)</f>
        <v>3535</v>
      </c>
      <c r="AG54" s="60">
        <f t="shared" ref="AG54:AI54" si="69">+SUM(AG55:AG56)</f>
        <v>3839</v>
      </c>
      <c r="AH54" s="60">
        <f t="shared" si="69"/>
        <v>3454</v>
      </c>
      <c r="AI54" s="60">
        <f t="shared" si="69"/>
        <v>2888</v>
      </c>
      <c r="AJ54" s="36">
        <f t="shared" si="14"/>
        <v>13716</v>
      </c>
      <c r="AK54" s="40">
        <f t="shared" si="15"/>
        <v>0.25743243243243241</v>
      </c>
      <c r="AL54" s="61">
        <f>+SUM(AL55:AL56)</f>
        <v>2097</v>
      </c>
      <c r="AM54" s="61">
        <f t="shared" ref="AM54:AO54" si="70">+SUM(AM55:AM56)</f>
        <v>4483</v>
      </c>
      <c r="AN54" s="61">
        <f t="shared" si="70"/>
        <v>6093</v>
      </c>
      <c r="AO54" s="61">
        <f t="shared" si="70"/>
        <v>7291</v>
      </c>
      <c r="AP54" s="36">
        <f t="shared" si="17"/>
        <v>19964</v>
      </c>
      <c r="AQ54" s="41">
        <f t="shared" si="18"/>
        <v>0.37469969969969968</v>
      </c>
      <c r="AR54" s="42">
        <f t="shared" si="19"/>
        <v>0.63213213213213204</v>
      </c>
    </row>
    <row r="55" spans="1:44" ht="30.75" customHeight="1">
      <c r="A55" s="43">
        <v>50</v>
      </c>
      <c r="B55" s="44" t="s">
        <v>112</v>
      </c>
      <c r="C55" s="44" t="s">
        <v>113</v>
      </c>
      <c r="D55" s="45"/>
      <c r="E55" s="45">
        <v>350</v>
      </c>
      <c r="F55" s="46">
        <v>338</v>
      </c>
      <c r="G55" s="47">
        <f t="shared" si="1"/>
        <v>0.96571428571428575</v>
      </c>
      <c r="H55" s="48">
        <v>45225</v>
      </c>
      <c r="I55" s="49">
        <f t="shared" ref="I55:L56" si="71">N55+T55+Z55+AF55+AL55</f>
        <v>11157</v>
      </c>
      <c r="J55" s="49">
        <f t="shared" si="71"/>
        <v>9455</v>
      </c>
      <c r="K55" s="49">
        <f t="shared" si="71"/>
        <v>7755</v>
      </c>
      <c r="L55" s="49">
        <f t="shared" si="71"/>
        <v>6791</v>
      </c>
      <c r="M55" s="50">
        <f t="shared" si="3"/>
        <v>35158</v>
      </c>
      <c r="N55" s="49">
        <v>846</v>
      </c>
      <c r="O55" s="51">
        <v>318</v>
      </c>
      <c r="P55" s="51">
        <v>173</v>
      </c>
      <c r="Q55" s="51">
        <v>108</v>
      </c>
      <c r="R55" s="52">
        <f t="shared" si="5"/>
        <v>1445</v>
      </c>
      <c r="S55" s="55">
        <f t="shared" si="6"/>
        <v>4.1100176346777408E-2</v>
      </c>
      <c r="T55" s="63">
        <v>2037</v>
      </c>
      <c r="U55" s="63">
        <v>852</v>
      </c>
      <c r="V55" s="63">
        <v>391</v>
      </c>
      <c r="W55" s="63">
        <v>296</v>
      </c>
      <c r="X55" s="54">
        <f t="shared" si="8"/>
        <v>3576</v>
      </c>
      <c r="Y55" s="55">
        <f t="shared" si="9"/>
        <v>0.10171227032254394</v>
      </c>
      <c r="Z55" s="63">
        <v>3697</v>
      </c>
      <c r="AA55" s="63">
        <v>2029</v>
      </c>
      <c r="AB55" s="63">
        <v>904</v>
      </c>
      <c r="AC55" s="63">
        <v>412</v>
      </c>
      <c r="AD55" s="54">
        <f t="shared" si="11"/>
        <v>7042</v>
      </c>
      <c r="AE55" s="55">
        <f t="shared" si="12"/>
        <v>0.20029580749758233</v>
      </c>
      <c r="AF55" s="63">
        <v>3126</v>
      </c>
      <c r="AG55" s="63">
        <v>3034</v>
      </c>
      <c r="AH55" s="63">
        <v>2129</v>
      </c>
      <c r="AI55" s="63">
        <v>1313</v>
      </c>
      <c r="AJ55" s="52">
        <f t="shared" si="14"/>
        <v>9602</v>
      </c>
      <c r="AK55" s="56">
        <f t="shared" si="15"/>
        <v>0.27310996074862054</v>
      </c>
      <c r="AL55" s="64">
        <v>1451</v>
      </c>
      <c r="AM55" s="64">
        <v>3222</v>
      </c>
      <c r="AN55" s="64">
        <v>4158</v>
      </c>
      <c r="AO55" s="64">
        <v>4662</v>
      </c>
      <c r="AP55" s="52">
        <f t="shared" si="17"/>
        <v>13493</v>
      </c>
      <c r="AQ55" s="57">
        <f t="shared" si="18"/>
        <v>0.3837817850844758</v>
      </c>
      <c r="AR55" s="58">
        <f t="shared" si="19"/>
        <v>0.65689174583309629</v>
      </c>
    </row>
    <row r="56" spans="1:44" ht="30.75" customHeight="1">
      <c r="A56" s="43">
        <v>51</v>
      </c>
      <c r="B56" s="44" t="s">
        <v>112</v>
      </c>
      <c r="C56" s="44" t="s">
        <v>115</v>
      </c>
      <c r="D56" s="45"/>
      <c r="E56" s="45">
        <v>283</v>
      </c>
      <c r="F56" s="46">
        <v>280</v>
      </c>
      <c r="G56" s="47">
        <f t="shared" si="1"/>
        <v>0.98939929328621912</v>
      </c>
      <c r="H56" s="48">
        <v>19653</v>
      </c>
      <c r="I56" s="49">
        <f t="shared" si="71"/>
        <v>6615</v>
      </c>
      <c r="J56" s="49">
        <f t="shared" si="71"/>
        <v>3856</v>
      </c>
      <c r="K56" s="49">
        <f t="shared" si="71"/>
        <v>3446</v>
      </c>
      <c r="L56" s="49">
        <f t="shared" si="71"/>
        <v>4205</v>
      </c>
      <c r="M56" s="50">
        <f t="shared" si="3"/>
        <v>18122</v>
      </c>
      <c r="N56" s="49">
        <v>386</v>
      </c>
      <c r="O56" s="51">
        <v>129</v>
      </c>
      <c r="P56" s="51">
        <v>5</v>
      </c>
      <c r="Q56" s="51">
        <v>0</v>
      </c>
      <c r="R56" s="52">
        <f t="shared" si="5"/>
        <v>520</v>
      </c>
      <c r="S56" s="55">
        <f t="shared" si="6"/>
        <v>2.8694404591104734E-2</v>
      </c>
      <c r="T56" s="63">
        <v>2354</v>
      </c>
      <c r="U56" s="63">
        <v>667</v>
      </c>
      <c r="V56" s="63">
        <v>72</v>
      </c>
      <c r="W56" s="63">
        <v>1</v>
      </c>
      <c r="X56" s="54">
        <f t="shared" si="8"/>
        <v>3094</v>
      </c>
      <c r="Y56" s="55">
        <f t="shared" si="9"/>
        <v>0.17073170731707318</v>
      </c>
      <c r="Z56" s="63">
        <v>2820</v>
      </c>
      <c r="AA56" s="63">
        <v>994</v>
      </c>
      <c r="AB56" s="63">
        <v>109</v>
      </c>
      <c r="AC56" s="63">
        <v>0</v>
      </c>
      <c r="AD56" s="54">
        <f t="shared" si="11"/>
        <v>3923</v>
      </c>
      <c r="AE56" s="55">
        <f t="shared" si="12"/>
        <v>0.21647721002096898</v>
      </c>
      <c r="AF56" s="63">
        <v>409</v>
      </c>
      <c r="AG56" s="63">
        <v>805</v>
      </c>
      <c r="AH56" s="63">
        <v>1325</v>
      </c>
      <c r="AI56" s="63">
        <v>1575</v>
      </c>
      <c r="AJ56" s="52">
        <f t="shared" si="14"/>
        <v>4114</v>
      </c>
      <c r="AK56" s="56">
        <f t="shared" si="15"/>
        <v>0.22701688555347091</v>
      </c>
      <c r="AL56" s="64">
        <v>646</v>
      </c>
      <c r="AM56" s="64">
        <v>1261</v>
      </c>
      <c r="AN56" s="64">
        <v>1935</v>
      </c>
      <c r="AO56" s="64">
        <v>2629</v>
      </c>
      <c r="AP56" s="52">
        <f t="shared" si="17"/>
        <v>6471</v>
      </c>
      <c r="AQ56" s="57">
        <f t="shared" si="18"/>
        <v>0.3570797925173822</v>
      </c>
      <c r="AR56" s="58">
        <f t="shared" si="19"/>
        <v>0.58409667807085308</v>
      </c>
    </row>
    <row r="57" spans="1:44" ht="14.25" customHeight="1">
      <c r="A57" s="81"/>
    </row>
    <row r="58" spans="1:44" ht="14.25" customHeight="1">
      <c r="A58" s="81"/>
    </row>
    <row r="59" spans="1:44" ht="14.25" customHeight="1">
      <c r="A59" s="81"/>
    </row>
    <row r="60" spans="1:44" ht="14.25" customHeight="1">
      <c r="A60" s="81"/>
      <c r="X60" s="83"/>
    </row>
    <row r="61" spans="1:44" ht="14.25" customHeight="1">
      <c r="A61" s="81"/>
    </row>
    <row r="62" spans="1:44" ht="14.25" customHeight="1">
      <c r="A62" s="81"/>
    </row>
    <row r="63" spans="1:44" ht="14.25" customHeight="1">
      <c r="A63" s="81"/>
    </row>
    <row r="64" spans="1:44" ht="14.25" customHeight="1">
      <c r="A64" s="81"/>
    </row>
    <row r="65" spans="1:1" ht="14.25" customHeight="1">
      <c r="A65" s="81"/>
    </row>
    <row r="66" spans="1:1" ht="14.25" customHeight="1">
      <c r="A66" s="81"/>
    </row>
    <row r="67" spans="1:1" ht="14.25" customHeight="1">
      <c r="A67" s="81"/>
    </row>
    <row r="68" spans="1:1" ht="14.25" customHeight="1">
      <c r="A68" s="81"/>
    </row>
    <row r="69" spans="1:1" ht="14.25" customHeight="1">
      <c r="A69" s="81"/>
    </row>
    <row r="70" spans="1:1" ht="14.25" customHeight="1">
      <c r="A70" s="81"/>
    </row>
    <row r="71" spans="1:1" ht="14.25" customHeight="1">
      <c r="A71" s="81"/>
    </row>
    <row r="72" spans="1:1" ht="14.25" customHeight="1">
      <c r="A72" s="81"/>
    </row>
    <row r="73" spans="1:1" ht="14.25" customHeight="1">
      <c r="A73" s="81"/>
    </row>
    <row r="74" spans="1:1" ht="14.25" customHeight="1">
      <c r="A74" s="81"/>
    </row>
    <row r="75" spans="1:1" ht="14.25" customHeight="1">
      <c r="A75" s="81"/>
    </row>
    <row r="76" spans="1:1" ht="14.25" customHeight="1">
      <c r="A76" s="81"/>
    </row>
    <row r="77" spans="1:1" ht="14.25" customHeight="1">
      <c r="A77" s="81"/>
    </row>
    <row r="78" spans="1:1" ht="14.25" customHeight="1">
      <c r="A78" s="81"/>
    </row>
    <row r="79" spans="1:1" ht="14.25" customHeight="1">
      <c r="A79" s="81"/>
    </row>
    <row r="80" spans="1:1" ht="14.25" customHeight="1">
      <c r="A80" s="81"/>
    </row>
    <row r="81" spans="1:1" ht="14.25" customHeight="1">
      <c r="A81" s="81"/>
    </row>
    <row r="82" spans="1:1" ht="14.25" customHeight="1">
      <c r="A82" s="81"/>
    </row>
    <row r="83" spans="1:1" ht="14.25" customHeight="1">
      <c r="A83" s="81"/>
    </row>
    <row r="84" spans="1:1" ht="14.25" customHeight="1">
      <c r="A84" s="81"/>
    </row>
    <row r="85" spans="1:1" ht="14.25" customHeight="1">
      <c r="A85" s="81"/>
    </row>
    <row r="86" spans="1:1" ht="14.25" customHeight="1">
      <c r="A86" s="81"/>
    </row>
    <row r="87" spans="1:1" ht="14.25" customHeight="1">
      <c r="A87" s="81"/>
    </row>
    <row r="88" spans="1:1" ht="14.25" customHeight="1">
      <c r="A88" s="81"/>
    </row>
    <row r="89" spans="1:1" ht="14.25" customHeight="1">
      <c r="A89" s="81"/>
    </row>
    <row r="90" spans="1:1" ht="14.25" customHeight="1">
      <c r="A90" s="81"/>
    </row>
    <row r="91" spans="1:1" ht="14.25" customHeight="1">
      <c r="A91" s="81"/>
    </row>
    <row r="92" spans="1:1" ht="14.25" customHeight="1">
      <c r="A92" s="81"/>
    </row>
    <row r="93" spans="1:1" ht="14.25" customHeight="1">
      <c r="A93" s="81"/>
    </row>
    <row r="94" spans="1:1" ht="14.25" customHeight="1">
      <c r="A94" s="81"/>
    </row>
    <row r="95" spans="1:1" ht="14.25" customHeight="1">
      <c r="A95" s="81"/>
    </row>
    <row r="96" spans="1:1" ht="14.25" customHeight="1">
      <c r="A96" s="81"/>
    </row>
    <row r="97" spans="1:1" ht="14.25" customHeight="1">
      <c r="A97" s="81"/>
    </row>
    <row r="98" spans="1:1" ht="14.25" customHeight="1">
      <c r="A98" s="81"/>
    </row>
    <row r="99" spans="1:1" ht="14.25" customHeight="1">
      <c r="A99" s="81"/>
    </row>
    <row r="100" spans="1:1" ht="14.25" customHeight="1">
      <c r="A100" s="81"/>
    </row>
    <row r="101" spans="1:1" ht="14.25" customHeight="1">
      <c r="A101" s="81"/>
    </row>
    <row r="102" spans="1:1" ht="14.25" customHeight="1">
      <c r="A102" s="81"/>
    </row>
    <row r="103" spans="1:1" ht="14.25" customHeight="1">
      <c r="A103" s="81"/>
    </row>
    <row r="104" spans="1:1" ht="14.25" customHeight="1">
      <c r="A104" s="81"/>
    </row>
    <row r="105" spans="1:1" ht="14.25" customHeight="1">
      <c r="A105" s="81"/>
    </row>
    <row r="106" spans="1:1" ht="14.25" customHeight="1">
      <c r="A106" s="81"/>
    </row>
    <row r="107" spans="1:1" ht="14.25" customHeight="1">
      <c r="A107" s="81"/>
    </row>
    <row r="108" spans="1:1" ht="14.25" customHeight="1">
      <c r="A108" s="81"/>
    </row>
    <row r="109" spans="1:1" ht="14.25" customHeight="1">
      <c r="A109" s="81"/>
    </row>
    <row r="110" spans="1:1" ht="14.25" customHeight="1">
      <c r="A110" s="81"/>
    </row>
    <row r="111" spans="1:1" ht="14.25" customHeight="1">
      <c r="A111" s="81"/>
    </row>
    <row r="112" spans="1:1" ht="14.25" customHeight="1">
      <c r="A112" s="81"/>
    </row>
    <row r="113" spans="1:1" ht="14.25" customHeight="1">
      <c r="A113" s="81"/>
    </row>
    <row r="114" spans="1:1" ht="14.25" customHeight="1">
      <c r="A114" s="81"/>
    </row>
    <row r="115" spans="1:1" ht="14.25" customHeight="1">
      <c r="A115" s="81"/>
    </row>
    <row r="116" spans="1:1" ht="14.25" customHeight="1">
      <c r="A116" s="81"/>
    </row>
    <row r="117" spans="1:1" ht="14.25" customHeight="1">
      <c r="A117" s="81"/>
    </row>
    <row r="118" spans="1:1" ht="14.25" customHeight="1">
      <c r="A118" s="81"/>
    </row>
    <row r="119" spans="1:1" ht="14.25" customHeight="1">
      <c r="A119" s="81"/>
    </row>
    <row r="120" spans="1:1" ht="14.25" customHeight="1">
      <c r="A120" s="81"/>
    </row>
    <row r="121" spans="1:1" ht="14.25" customHeight="1">
      <c r="A121" s="81"/>
    </row>
    <row r="122" spans="1:1" ht="14.25" customHeight="1">
      <c r="A122" s="81"/>
    </row>
    <row r="123" spans="1:1" ht="14.25" customHeight="1">
      <c r="A123" s="81"/>
    </row>
    <row r="124" spans="1:1" ht="14.25" customHeight="1">
      <c r="A124" s="81"/>
    </row>
    <row r="125" spans="1:1" ht="14.25" customHeight="1">
      <c r="A125" s="81"/>
    </row>
    <row r="126" spans="1:1" ht="14.25" customHeight="1">
      <c r="A126" s="81"/>
    </row>
    <row r="127" spans="1:1" ht="14.25" customHeight="1">
      <c r="A127" s="81"/>
    </row>
    <row r="128" spans="1:1" ht="14.25" customHeight="1">
      <c r="A128" s="81"/>
    </row>
    <row r="129" spans="1:1" ht="14.25" customHeight="1">
      <c r="A129" s="81"/>
    </row>
    <row r="130" spans="1:1" ht="14.25" customHeight="1">
      <c r="A130" s="81"/>
    </row>
    <row r="131" spans="1:1" ht="14.25" customHeight="1">
      <c r="A131" s="81"/>
    </row>
    <row r="132" spans="1:1" ht="14.25" customHeight="1">
      <c r="A132" s="81"/>
    </row>
    <row r="133" spans="1:1" ht="14.25" customHeight="1">
      <c r="A133" s="81"/>
    </row>
    <row r="134" spans="1:1" ht="14.25" customHeight="1">
      <c r="A134" s="81"/>
    </row>
    <row r="135" spans="1:1" ht="14.25" customHeight="1">
      <c r="A135" s="81"/>
    </row>
    <row r="136" spans="1:1" ht="14.25" customHeight="1">
      <c r="A136" s="81"/>
    </row>
    <row r="137" spans="1:1" ht="14.25" customHeight="1">
      <c r="A137" s="81"/>
    </row>
    <row r="138" spans="1:1" ht="14.25" customHeight="1">
      <c r="A138" s="81"/>
    </row>
    <row r="139" spans="1:1" ht="14.25" customHeight="1">
      <c r="A139" s="81"/>
    </row>
    <row r="140" spans="1:1" ht="14.25" customHeight="1">
      <c r="A140" s="81"/>
    </row>
    <row r="141" spans="1:1" ht="14.25" customHeight="1">
      <c r="A141" s="81"/>
    </row>
    <row r="142" spans="1:1" ht="14.25" customHeight="1">
      <c r="A142" s="81"/>
    </row>
    <row r="143" spans="1:1" ht="14.25" customHeight="1">
      <c r="A143" s="81"/>
    </row>
    <row r="144" spans="1:1" ht="14.25" customHeight="1">
      <c r="A144" s="81"/>
    </row>
    <row r="145" spans="1:1" ht="14.25" customHeight="1">
      <c r="A145" s="81"/>
    </row>
    <row r="146" spans="1:1" ht="14.25" customHeight="1">
      <c r="A146" s="81"/>
    </row>
    <row r="147" spans="1:1" ht="14.25" customHeight="1">
      <c r="A147" s="81"/>
    </row>
    <row r="148" spans="1:1" ht="14.25" customHeight="1">
      <c r="A148" s="81"/>
    </row>
    <row r="149" spans="1:1" ht="14.25" customHeight="1">
      <c r="A149" s="81"/>
    </row>
    <row r="150" spans="1:1" ht="14.25" customHeight="1">
      <c r="A150" s="81"/>
    </row>
    <row r="151" spans="1:1" ht="14.25" customHeight="1">
      <c r="A151" s="81"/>
    </row>
    <row r="152" spans="1:1" ht="14.25" customHeight="1">
      <c r="A152" s="81"/>
    </row>
    <row r="153" spans="1:1" ht="14.25" customHeight="1">
      <c r="A153" s="81"/>
    </row>
    <row r="154" spans="1:1" ht="14.25" customHeight="1">
      <c r="A154" s="81"/>
    </row>
    <row r="155" spans="1:1" ht="14.25" customHeight="1">
      <c r="A155" s="81"/>
    </row>
    <row r="156" spans="1:1" ht="14.25" customHeight="1">
      <c r="A156" s="81"/>
    </row>
    <row r="157" spans="1:1" ht="14.25" customHeight="1">
      <c r="A157" s="81"/>
    </row>
    <row r="158" spans="1:1" ht="14.25" customHeight="1">
      <c r="A158" s="81"/>
    </row>
    <row r="159" spans="1:1" ht="14.25" customHeight="1">
      <c r="A159" s="81"/>
    </row>
    <row r="160" spans="1:1" ht="14.25" customHeight="1">
      <c r="A160" s="81"/>
    </row>
    <row r="161" spans="1:1" ht="14.25" customHeight="1">
      <c r="A161" s="81"/>
    </row>
    <row r="162" spans="1:1" ht="14.25" customHeight="1">
      <c r="A162" s="81"/>
    </row>
    <row r="163" spans="1:1" ht="14.25" customHeight="1">
      <c r="A163" s="81"/>
    </row>
    <row r="164" spans="1:1" ht="14.25" customHeight="1">
      <c r="A164" s="81"/>
    </row>
    <row r="165" spans="1:1" ht="14.25" customHeight="1">
      <c r="A165" s="81"/>
    </row>
    <row r="166" spans="1:1" ht="14.25" customHeight="1">
      <c r="A166" s="81"/>
    </row>
    <row r="167" spans="1:1" ht="14.25" customHeight="1">
      <c r="A167" s="81"/>
    </row>
    <row r="168" spans="1:1" ht="14.25" customHeight="1">
      <c r="A168" s="81"/>
    </row>
    <row r="169" spans="1:1" ht="14.25" customHeight="1">
      <c r="A169" s="81"/>
    </row>
    <row r="170" spans="1:1" ht="14.25" customHeight="1">
      <c r="A170" s="81"/>
    </row>
    <row r="171" spans="1:1" ht="14.25" customHeight="1">
      <c r="A171" s="81"/>
    </row>
    <row r="172" spans="1:1" ht="14.25" customHeight="1">
      <c r="A172" s="81"/>
    </row>
    <row r="173" spans="1:1" ht="14.25" customHeight="1">
      <c r="A173" s="81"/>
    </row>
    <row r="174" spans="1:1" ht="14.25" customHeight="1">
      <c r="A174" s="81"/>
    </row>
    <row r="175" spans="1:1" ht="14.25" customHeight="1">
      <c r="A175" s="81"/>
    </row>
    <row r="176" spans="1:1" ht="14.25" customHeight="1">
      <c r="A176" s="81"/>
    </row>
    <row r="177" spans="1:1" ht="14.25" customHeight="1">
      <c r="A177" s="81"/>
    </row>
    <row r="178" spans="1:1" ht="14.25" customHeight="1">
      <c r="A178" s="81"/>
    </row>
    <row r="179" spans="1:1" ht="14.25" customHeight="1">
      <c r="A179" s="81"/>
    </row>
    <row r="180" spans="1:1" ht="14.25" customHeight="1">
      <c r="A180" s="81"/>
    </row>
    <row r="181" spans="1:1" ht="14.25" customHeight="1">
      <c r="A181" s="81"/>
    </row>
    <row r="182" spans="1:1" ht="14.25" customHeight="1">
      <c r="A182" s="81"/>
    </row>
    <row r="183" spans="1:1" ht="14.25" customHeight="1">
      <c r="A183" s="81"/>
    </row>
    <row r="184" spans="1:1" ht="14.25" customHeight="1">
      <c r="A184" s="81"/>
    </row>
    <row r="185" spans="1:1" ht="14.25" customHeight="1">
      <c r="A185" s="81"/>
    </row>
    <row r="186" spans="1:1" ht="14.25" customHeight="1">
      <c r="A186" s="81"/>
    </row>
    <row r="187" spans="1:1" ht="14.25" customHeight="1">
      <c r="A187" s="81"/>
    </row>
    <row r="188" spans="1:1" ht="14.25" customHeight="1">
      <c r="A188" s="81"/>
    </row>
    <row r="189" spans="1:1" ht="14.25" customHeight="1">
      <c r="A189" s="81"/>
    </row>
    <row r="190" spans="1:1" ht="14.25" customHeight="1">
      <c r="A190" s="81"/>
    </row>
    <row r="191" spans="1:1" ht="14.25" customHeight="1">
      <c r="A191" s="81"/>
    </row>
    <row r="192" spans="1:1" ht="14.25" customHeight="1">
      <c r="A192" s="81"/>
    </row>
    <row r="193" spans="1:1" ht="14.25" customHeight="1">
      <c r="A193" s="81"/>
    </row>
    <row r="194" spans="1:1" ht="14.25" customHeight="1">
      <c r="A194" s="81"/>
    </row>
    <row r="195" spans="1:1" ht="14.25" customHeight="1">
      <c r="A195" s="81"/>
    </row>
    <row r="196" spans="1:1" ht="14.25" customHeight="1">
      <c r="A196" s="81"/>
    </row>
    <row r="197" spans="1:1" ht="14.25" customHeight="1">
      <c r="A197" s="81"/>
    </row>
    <row r="198" spans="1:1" ht="14.25" customHeight="1">
      <c r="A198" s="81"/>
    </row>
    <row r="199" spans="1:1" ht="14.25" customHeight="1">
      <c r="A199" s="81"/>
    </row>
    <row r="200" spans="1:1" ht="14.25" customHeight="1">
      <c r="A200" s="81"/>
    </row>
    <row r="201" spans="1:1" ht="14.25" customHeight="1">
      <c r="A201" s="81"/>
    </row>
    <row r="202" spans="1:1" ht="14.25" customHeight="1">
      <c r="A202" s="81"/>
    </row>
    <row r="203" spans="1:1" ht="14.25" customHeight="1">
      <c r="A203" s="81"/>
    </row>
    <row r="204" spans="1:1" ht="14.25" customHeight="1">
      <c r="A204" s="81"/>
    </row>
    <row r="205" spans="1:1" ht="14.25" customHeight="1">
      <c r="A205" s="81"/>
    </row>
    <row r="206" spans="1:1" ht="14.25" customHeight="1">
      <c r="A206" s="81"/>
    </row>
    <row r="207" spans="1:1" ht="14.25" customHeight="1">
      <c r="A207" s="81"/>
    </row>
    <row r="208" spans="1:1" ht="14.25" customHeight="1">
      <c r="A208" s="81"/>
    </row>
    <row r="209" spans="1:1" ht="14.25" customHeight="1">
      <c r="A209" s="81"/>
    </row>
    <row r="210" spans="1:1" ht="14.25" customHeight="1">
      <c r="A210" s="81"/>
    </row>
    <row r="211" spans="1:1" ht="14.25" customHeight="1">
      <c r="A211" s="81"/>
    </row>
    <row r="212" spans="1:1" ht="14.25" customHeight="1">
      <c r="A212" s="81"/>
    </row>
    <row r="213" spans="1:1" ht="14.25" customHeight="1">
      <c r="A213" s="81"/>
    </row>
    <row r="214" spans="1:1" ht="14.25" customHeight="1">
      <c r="A214" s="81"/>
    </row>
    <row r="215" spans="1:1" ht="14.25" customHeight="1">
      <c r="A215" s="81"/>
    </row>
    <row r="216" spans="1:1" ht="14.25" customHeight="1">
      <c r="A216" s="81"/>
    </row>
    <row r="217" spans="1:1" ht="14.25" customHeight="1">
      <c r="A217" s="81"/>
    </row>
    <row r="218" spans="1:1" ht="14.25" customHeight="1">
      <c r="A218" s="81"/>
    </row>
    <row r="219" spans="1:1" ht="14.25" customHeight="1">
      <c r="A219" s="81"/>
    </row>
    <row r="220" spans="1:1" ht="14.25" customHeight="1">
      <c r="A220" s="81"/>
    </row>
    <row r="221" spans="1:1" ht="14.25" customHeight="1">
      <c r="A221" s="81"/>
    </row>
    <row r="222" spans="1:1" ht="14.25" customHeight="1">
      <c r="A222" s="81"/>
    </row>
    <row r="223" spans="1:1" ht="14.25" customHeight="1">
      <c r="A223" s="81"/>
    </row>
    <row r="224" spans="1:1" ht="14.25" customHeight="1">
      <c r="A224" s="81"/>
    </row>
    <row r="225" spans="1:1" ht="14.25" customHeight="1">
      <c r="A225" s="81"/>
    </row>
    <row r="226" spans="1:1" ht="14.25" customHeight="1">
      <c r="A226" s="81"/>
    </row>
    <row r="227" spans="1:1" ht="14.25" customHeight="1">
      <c r="A227" s="81"/>
    </row>
    <row r="228" spans="1:1" ht="14.25" customHeight="1">
      <c r="A228" s="81"/>
    </row>
    <row r="229" spans="1:1" ht="14.25" customHeight="1">
      <c r="A229" s="81"/>
    </row>
    <row r="230" spans="1:1" ht="14.25" customHeight="1">
      <c r="A230" s="81"/>
    </row>
    <row r="231" spans="1:1" ht="14.25" customHeight="1">
      <c r="A231" s="81"/>
    </row>
    <row r="232" spans="1:1" ht="14.25" customHeight="1">
      <c r="A232" s="81"/>
    </row>
    <row r="233" spans="1:1" ht="14.25" customHeight="1">
      <c r="A233" s="81"/>
    </row>
    <row r="234" spans="1:1" ht="14.25" customHeight="1">
      <c r="A234" s="81"/>
    </row>
    <row r="235" spans="1:1" ht="14.25" customHeight="1">
      <c r="A235" s="81"/>
    </row>
    <row r="236" spans="1:1" ht="14.25" customHeight="1">
      <c r="A236" s="81"/>
    </row>
    <row r="237" spans="1:1" ht="14.25" customHeight="1">
      <c r="A237" s="81"/>
    </row>
    <row r="238" spans="1:1" ht="14.25" customHeight="1">
      <c r="A238" s="81"/>
    </row>
    <row r="239" spans="1:1" ht="14.25" customHeight="1">
      <c r="A239" s="81"/>
    </row>
    <row r="240" spans="1:1" ht="14.25" customHeight="1">
      <c r="A240" s="81"/>
    </row>
    <row r="241" spans="1:1" ht="14.25" customHeight="1">
      <c r="A241" s="81"/>
    </row>
    <row r="242" spans="1:1" ht="14.25" customHeight="1">
      <c r="A242" s="81"/>
    </row>
    <row r="243" spans="1:1" ht="14.25" customHeight="1">
      <c r="A243" s="81"/>
    </row>
    <row r="244" spans="1:1" ht="14.25" customHeight="1">
      <c r="A244" s="81"/>
    </row>
    <row r="245" spans="1:1" ht="14.25" customHeight="1">
      <c r="A245" s="81"/>
    </row>
    <row r="246" spans="1:1" ht="14.25" customHeight="1">
      <c r="A246" s="81"/>
    </row>
    <row r="247" spans="1:1" ht="14.25" customHeight="1">
      <c r="A247" s="81"/>
    </row>
    <row r="248" spans="1:1" ht="14.25" customHeight="1">
      <c r="A248" s="81"/>
    </row>
    <row r="249" spans="1:1" ht="14.25" customHeight="1">
      <c r="A249" s="81"/>
    </row>
    <row r="250" spans="1:1" ht="14.25" customHeight="1">
      <c r="A250" s="81"/>
    </row>
    <row r="251" spans="1:1" ht="14.25" customHeight="1">
      <c r="A251" s="81"/>
    </row>
    <row r="252" spans="1:1" ht="14.25" customHeight="1">
      <c r="A252" s="81"/>
    </row>
    <row r="253" spans="1:1" ht="14.25" customHeight="1">
      <c r="A253" s="81"/>
    </row>
    <row r="254" spans="1:1" ht="14.25" customHeight="1">
      <c r="A254" s="81"/>
    </row>
    <row r="255" spans="1:1" ht="14.25" customHeight="1">
      <c r="A255" s="81"/>
    </row>
    <row r="256" spans="1:1" ht="15.75" customHeight="1">
      <c r="A256" s="81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10">
    <mergeCell ref="A31:B31"/>
    <mergeCell ref="A40:B40"/>
    <mergeCell ref="A44:B44"/>
    <mergeCell ref="A48:B48"/>
    <mergeCell ref="A54:B54"/>
    <mergeCell ref="I1:L1"/>
    <mergeCell ref="A3:B3"/>
    <mergeCell ref="A11:B11"/>
    <mergeCell ref="A15:B15"/>
    <mergeCell ref="A2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PRETEST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2026-10-14T05:57:58Z</dcterms:created>
  <dcterms:modified xsi:type="dcterms:W3CDTF">2026-10-14T06:00:07Z</dcterms:modified>
</cp:coreProperties>
</file>