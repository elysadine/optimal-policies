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HESE - ELYSA\SOUMISSION ARTICLE ELYSA 2026\PUBLICATIONS\Journal of Applied Statistics\2eme revision\"/>
    </mc:Choice>
  </mc:AlternateContent>
  <xr:revisionPtr revIDLastSave="0" documentId="8_{88F9AAAC-C355-45A1-9079-803447C58BB7}" xr6:coauthVersionLast="36" xr6:coauthVersionMax="36" xr10:uidLastSave="{00000000-0000-0000-0000-000000000000}"/>
  <bookViews>
    <workbookView xWindow="0" yWindow="0" windowWidth="23040" windowHeight="10404" activeTab="1" xr2:uid="{5EBA5030-35EA-4B04-881E-83D9BEBB1758}"/>
  </bookViews>
  <sheets>
    <sheet name="PRETEST" sheetId="1" r:id="rId1"/>
    <sheet name="POSTTEST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I73" i="2" l="1"/>
  <c r="CH73" i="2"/>
  <c r="CG73" i="2"/>
  <c r="CF73" i="2"/>
  <c r="CD73" i="2"/>
  <c r="CC73" i="2"/>
  <c r="CB73" i="2"/>
  <c r="CA73" i="2"/>
  <c r="BZ73" i="2"/>
  <c r="BY73" i="2"/>
  <c r="BX73" i="2"/>
  <c r="BW73" i="2"/>
  <c r="BV73" i="2"/>
  <c r="BT73" i="2"/>
  <c r="CN73" i="2" s="1"/>
  <c r="BS73" i="2"/>
  <c r="CM73" i="2" s="1"/>
  <c r="BR73" i="2"/>
  <c r="CL73" i="2" s="1"/>
  <c r="BQ73" i="2"/>
  <c r="CK73" i="2" s="1"/>
  <c r="BO73" i="2"/>
  <c r="CJ73" i="2" s="1"/>
  <c r="BJ73" i="2"/>
  <c r="CE73" i="2" s="1"/>
  <c r="BE73" i="2"/>
  <c r="AZ73" i="2"/>
  <c r="BU73" i="2" s="1"/>
  <c r="AT73" i="2"/>
  <c r="AS73" i="2"/>
  <c r="AR73" i="2"/>
  <c r="AQ73" i="2"/>
  <c r="AO73" i="2"/>
  <c r="AN73" i="2"/>
  <c r="AM73" i="2"/>
  <c r="AL73" i="2"/>
  <c r="AK73" i="2"/>
  <c r="AU73" i="2" s="1"/>
  <c r="AF73" i="2"/>
  <c r="AA73" i="2"/>
  <c r="V73" i="2"/>
  <c r="Q73" i="2"/>
  <c r="AP73" i="2" s="1"/>
  <c r="L73" i="2"/>
  <c r="G73" i="2"/>
  <c r="CN72" i="2"/>
  <c r="CI72" i="2"/>
  <c r="CH72" i="2"/>
  <c r="CG72" i="2"/>
  <c r="CF72" i="2"/>
  <c r="CD72" i="2"/>
  <c r="CC72" i="2"/>
  <c r="CB72" i="2"/>
  <c r="CA72" i="2"/>
  <c r="BY72" i="2"/>
  <c r="BX72" i="2"/>
  <c r="BW72" i="2"/>
  <c r="BV72" i="2"/>
  <c r="BT72" i="2"/>
  <c r="BS72" i="2"/>
  <c r="BR72" i="2"/>
  <c r="CL72" i="2" s="1"/>
  <c r="BQ72" i="2"/>
  <c r="CK72" i="2" s="1"/>
  <c r="BO72" i="2"/>
  <c r="CJ72" i="2" s="1"/>
  <c r="BJ72" i="2"/>
  <c r="CE72" i="2" s="1"/>
  <c r="BE72" i="2"/>
  <c r="BZ72" i="2" s="1"/>
  <c r="AZ72" i="2"/>
  <c r="BU72" i="2" s="1"/>
  <c r="AT72" i="2"/>
  <c r="AS72" i="2"/>
  <c r="AR72" i="2"/>
  <c r="AQ72" i="2"/>
  <c r="AO72" i="2"/>
  <c r="AN72" i="2"/>
  <c r="AM72" i="2"/>
  <c r="AL72" i="2"/>
  <c r="AK72" i="2"/>
  <c r="AU72" i="2" s="1"/>
  <c r="AF72" i="2"/>
  <c r="AP72" i="2" s="1"/>
  <c r="AA72" i="2"/>
  <c r="V72" i="2"/>
  <c r="Q72" i="2"/>
  <c r="L72" i="2"/>
  <c r="G72" i="2"/>
  <c r="CL71" i="2"/>
  <c r="CI71" i="2"/>
  <c r="CH71" i="2"/>
  <c r="CG71" i="2"/>
  <c r="CF71" i="2"/>
  <c r="CD71" i="2"/>
  <c r="CC71" i="2"/>
  <c r="CB71" i="2"/>
  <c r="CA71" i="2"/>
  <c r="BY71" i="2"/>
  <c r="BX71" i="2"/>
  <c r="BW71" i="2"/>
  <c r="BV71" i="2"/>
  <c r="BT71" i="2"/>
  <c r="CN71" i="2" s="1"/>
  <c r="BS71" i="2"/>
  <c r="CM71" i="2" s="1"/>
  <c r="BR71" i="2"/>
  <c r="BQ71" i="2"/>
  <c r="BO71" i="2"/>
  <c r="BJ71" i="2"/>
  <c r="CE71" i="2" s="1"/>
  <c r="BE71" i="2"/>
  <c r="AZ71" i="2"/>
  <c r="BU71" i="2" s="1"/>
  <c r="AT71" i="2"/>
  <c r="AS71" i="2"/>
  <c r="AR71" i="2"/>
  <c r="AQ71" i="2"/>
  <c r="AO71" i="2"/>
  <c r="AN71" i="2"/>
  <c r="AM71" i="2"/>
  <c r="AL71" i="2"/>
  <c r="AK71" i="2"/>
  <c r="AU71" i="2" s="1"/>
  <c r="AF71" i="2"/>
  <c r="AP71" i="2" s="1"/>
  <c r="AA71" i="2"/>
  <c r="V71" i="2"/>
  <c r="Q71" i="2"/>
  <c r="L71" i="2"/>
  <c r="G71" i="2"/>
  <c r="CJ70" i="2"/>
  <c r="CI70" i="2"/>
  <c r="CH70" i="2"/>
  <c r="CG70" i="2"/>
  <c r="CF70" i="2"/>
  <c r="CD70" i="2"/>
  <c r="CC70" i="2"/>
  <c r="CB70" i="2"/>
  <c r="CA70" i="2"/>
  <c r="BY70" i="2"/>
  <c r="BX70" i="2"/>
  <c r="BW70" i="2"/>
  <c r="BV70" i="2"/>
  <c r="BT70" i="2"/>
  <c r="CN70" i="2" s="1"/>
  <c r="BS70" i="2"/>
  <c r="CM70" i="2" s="1"/>
  <c r="BR70" i="2"/>
  <c r="CL70" i="2" s="1"/>
  <c r="BQ70" i="2"/>
  <c r="CK70" i="2" s="1"/>
  <c r="BO70" i="2"/>
  <c r="BJ70" i="2"/>
  <c r="CE70" i="2" s="1"/>
  <c r="BE70" i="2"/>
  <c r="BZ70" i="2" s="1"/>
  <c r="AZ70" i="2"/>
  <c r="BU70" i="2" s="1"/>
  <c r="AU70" i="2"/>
  <c r="AT70" i="2"/>
  <c r="AS70" i="2"/>
  <c r="AR70" i="2"/>
  <c r="AQ70" i="2"/>
  <c r="AO70" i="2"/>
  <c r="AN70" i="2"/>
  <c r="AM70" i="2"/>
  <c r="AL70" i="2"/>
  <c r="AK70" i="2"/>
  <c r="AF70" i="2"/>
  <c r="AP70" i="2" s="1"/>
  <c r="AA70" i="2"/>
  <c r="V70" i="2"/>
  <c r="Q70" i="2"/>
  <c r="L70" i="2"/>
  <c r="G70" i="2"/>
  <c r="CH69" i="2"/>
  <c r="BR69" i="2"/>
  <c r="BN69" i="2"/>
  <c r="BM69" i="2"/>
  <c r="BL69" i="2"/>
  <c r="CG69" i="2" s="1"/>
  <c r="BK69" i="2"/>
  <c r="BI69" i="2"/>
  <c r="CD69" i="2" s="1"/>
  <c r="BH69" i="2"/>
  <c r="BG69" i="2"/>
  <c r="BF69" i="2"/>
  <c r="BD69" i="2"/>
  <c r="BY69" i="2" s="1"/>
  <c r="BC69" i="2"/>
  <c r="BX69" i="2" s="1"/>
  <c r="BB69" i="2"/>
  <c r="BW69" i="2" s="1"/>
  <c r="BA69" i="2"/>
  <c r="BA74" i="2" s="1"/>
  <c r="AY69" i="2"/>
  <c r="AX69" i="2"/>
  <c r="AW69" i="2"/>
  <c r="AV69" i="2"/>
  <c r="AS69" i="2"/>
  <c r="AK69" i="2"/>
  <c r="AU69" i="2" s="1"/>
  <c r="AJ69" i="2"/>
  <c r="AI69" i="2"/>
  <c r="AH69" i="2"/>
  <c r="AR69" i="2" s="1"/>
  <c r="AG69" i="2"/>
  <c r="AE69" i="2"/>
  <c r="AO69" i="2" s="1"/>
  <c r="AD69" i="2"/>
  <c r="AN69" i="2" s="1"/>
  <c r="AC69" i="2"/>
  <c r="AM69" i="2" s="1"/>
  <c r="AB69" i="2"/>
  <c r="Z69" i="2"/>
  <c r="Y69" i="2"/>
  <c r="X69" i="2"/>
  <c r="W69" i="2"/>
  <c r="AA69" i="2" s="1"/>
  <c r="U69" i="2"/>
  <c r="T69" i="2"/>
  <c r="S69" i="2"/>
  <c r="R69" i="2"/>
  <c r="P69" i="2"/>
  <c r="O69" i="2"/>
  <c r="N69" i="2"/>
  <c r="M69" i="2"/>
  <c r="Q69" i="2" s="1"/>
  <c r="K69" i="2"/>
  <c r="J69" i="2"/>
  <c r="I69" i="2"/>
  <c r="H69" i="2"/>
  <c r="L69" i="2" s="1"/>
  <c r="F69" i="2"/>
  <c r="G69" i="2" s="1"/>
  <c r="E69" i="2"/>
  <c r="E74" i="2" s="1"/>
  <c r="CI68" i="2"/>
  <c r="CH68" i="2"/>
  <c r="CG68" i="2"/>
  <c r="CF68" i="2"/>
  <c r="CD68" i="2"/>
  <c r="CC68" i="2"/>
  <c r="CB68" i="2"/>
  <c r="CA68" i="2"/>
  <c r="BZ68" i="2"/>
  <c r="BY68" i="2"/>
  <c r="BX68" i="2"/>
  <c r="BW68" i="2"/>
  <c r="BV68" i="2"/>
  <c r="BT68" i="2"/>
  <c r="CN68" i="2" s="1"/>
  <c r="BS68" i="2"/>
  <c r="CM68" i="2" s="1"/>
  <c r="BR68" i="2"/>
  <c r="CL68" i="2" s="1"/>
  <c r="BQ68" i="2"/>
  <c r="CK68" i="2" s="1"/>
  <c r="BO68" i="2"/>
  <c r="CJ68" i="2" s="1"/>
  <c r="BJ68" i="2"/>
  <c r="CE68" i="2" s="1"/>
  <c r="BE68" i="2"/>
  <c r="AZ68" i="2"/>
  <c r="BU68" i="2" s="1"/>
  <c r="AT68" i="2"/>
  <c r="AS68" i="2"/>
  <c r="AR68" i="2"/>
  <c r="AQ68" i="2"/>
  <c r="AO68" i="2"/>
  <c r="AN68" i="2"/>
  <c r="AM68" i="2"/>
  <c r="AL68" i="2"/>
  <c r="AK68" i="2"/>
  <c r="AU68" i="2" s="1"/>
  <c r="AF68" i="2"/>
  <c r="AP68" i="2" s="1"/>
  <c r="AA68" i="2"/>
  <c r="V68" i="2"/>
  <c r="Q68" i="2"/>
  <c r="L68" i="2"/>
  <c r="G68" i="2"/>
  <c r="CN67" i="2"/>
  <c r="CI67" i="2"/>
  <c r="CH67" i="2"/>
  <c r="CG67" i="2"/>
  <c r="CF67" i="2"/>
  <c r="CD67" i="2"/>
  <c r="CC67" i="2"/>
  <c r="CB67" i="2"/>
  <c r="CA67" i="2"/>
  <c r="BY67" i="2"/>
  <c r="BX67" i="2"/>
  <c r="BW67" i="2"/>
  <c r="BV67" i="2"/>
  <c r="BT67" i="2"/>
  <c r="BS67" i="2"/>
  <c r="BR67" i="2"/>
  <c r="CL67" i="2" s="1"/>
  <c r="BQ67" i="2"/>
  <c r="CK67" i="2" s="1"/>
  <c r="BO67" i="2"/>
  <c r="CJ67" i="2" s="1"/>
  <c r="BJ67" i="2"/>
  <c r="CE67" i="2" s="1"/>
  <c r="BE67" i="2"/>
  <c r="BZ67" i="2" s="1"/>
  <c r="AZ67" i="2"/>
  <c r="BU67" i="2" s="1"/>
  <c r="AT67" i="2"/>
  <c r="AS67" i="2"/>
  <c r="AR67" i="2"/>
  <c r="AQ67" i="2"/>
  <c r="AO67" i="2"/>
  <c r="AN67" i="2"/>
  <c r="AM67" i="2"/>
  <c r="AL67" i="2"/>
  <c r="AK67" i="2"/>
  <c r="AU67" i="2" s="1"/>
  <c r="AF67" i="2"/>
  <c r="AP67" i="2" s="1"/>
  <c r="AA67" i="2"/>
  <c r="V67" i="2"/>
  <c r="Q67" i="2"/>
  <c r="L67" i="2"/>
  <c r="G67" i="2"/>
  <c r="CD66" i="2"/>
  <c r="BV66" i="2"/>
  <c r="BP66" i="2"/>
  <c r="BN66" i="2"/>
  <c r="CI66" i="2" s="1"/>
  <c r="BM66" i="2"/>
  <c r="CH66" i="2" s="1"/>
  <c r="BL66" i="2"/>
  <c r="CG66" i="2" s="1"/>
  <c r="CL66" i="2" s="1"/>
  <c r="BK66" i="2"/>
  <c r="CF66" i="2" s="1"/>
  <c r="BI66" i="2"/>
  <c r="BH66" i="2"/>
  <c r="CC66" i="2" s="1"/>
  <c r="BG66" i="2"/>
  <c r="CB66" i="2" s="1"/>
  <c r="BF66" i="2"/>
  <c r="BE66" i="2"/>
  <c r="BZ66" i="2" s="1"/>
  <c r="BD66" i="2"/>
  <c r="BY66" i="2" s="1"/>
  <c r="BC66" i="2"/>
  <c r="BX66" i="2" s="1"/>
  <c r="BB66" i="2"/>
  <c r="BW66" i="2" s="1"/>
  <c r="BA66" i="2"/>
  <c r="AY66" i="2"/>
  <c r="BT66" i="2" s="1"/>
  <c r="AX66" i="2"/>
  <c r="AW66" i="2"/>
  <c r="BR66" i="2" s="1"/>
  <c r="AV66" i="2"/>
  <c r="BQ66" i="2" s="1"/>
  <c r="AJ66" i="2"/>
  <c r="AT66" i="2" s="1"/>
  <c r="AI66" i="2"/>
  <c r="AS66" i="2" s="1"/>
  <c r="AH66" i="2"/>
  <c r="AR66" i="2" s="1"/>
  <c r="AG66" i="2"/>
  <c r="AE66" i="2"/>
  <c r="AO66" i="2" s="1"/>
  <c r="AD66" i="2"/>
  <c r="AN66" i="2" s="1"/>
  <c r="AC66" i="2"/>
  <c r="AM66" i="2" s="1"/>
  <c r="AB66" i="2"/>
  <c r="AF66" i="2" s="1"/>
  <c r="AP66" i="2" s="1"/>
  <c r="Z66" i="2"/>
  <c r="Y66" i="2"/>
  <c r="X66" i="2"/>
  <c r="W66" i="2"/>
  <c r="U66" i="2"/>
  <c r="T66" i="2"/>
  <c r="S66" i="2"/>
  <c r="R66" i="2"/>
  <c r="V66" i="2" s="1"/>
  <c r="P66" i="2"/>
  <c r="O66" i="2"/>
  <c r="N66" i="2"/>
  <c r="Q66" i="2" s="1"/>
  <c r="M66" i="2"/>
  <c r="K66" i="2"/>
  <c r="J66" i="2"/>
  <c r="L66" i="2" s="1"/>
  <c r="I66" i="2"/>
  <c r="H66" i="2"/>
  <c r="F66" i="2"/>
  <c r="G66" i="2" s="1"/>
  <c r="E66" i="2"/>
  <c r="CM65" i="2"/>
  <c r="CI65" i="2"/>
  <c r="CH65" i="2"/>
  <c r="CG65" i="2"/>
  <c r="CF65" i="2"/>
  <c r="CE65" i="2"/>
  <c r="CD65" i="2"/>
  <c r="CC65" i="2"/>
  <c r="CB65" i="2"/>
  <c r="CA65" i="2"/>
  <c r="BY65" i="2"/>
  <c r="BX65" i="2"/>
  <c r="BW65" i="2"/>
  <c r="BV65" i="2"/>
  <c r="BT65" i="2"/>
  <c r="CN65" i="2" s="1"/>
  <c r="BS65" i="2"/>
  <c r="BR65" i="2"/>
  <c r="BQ65" i="2"/>
  <c r="CK65" i="2" s="1"/>
  <c r="BO65" i="2"/>
  <c r="CJ65" i="2" s="1"/>
  <c r="BJ65" i="2"/>
  <c r="BE65" i="2"/>
  <c r="BZ65" i="2" s="1"/>
  <c r="CO65" i="2" s="1"/>
  <c r="AZ65" i="2"/>
  <c r="BU65" i="2" s="1"/>
  <c r="AT65" i="2"/>
  <c r="AS65" i="2"/>
  <c r="AR65" i="2"/>
  <c r="AQ65" i="2"/>
  <c r="AP65" i="2"/>
  <c r="AO65" i="2"/>
  <c r="AN65" i="2"/>
  <c r="AM65" i="2"/>
  <c r="AL65" i="2"/>
  <c r="AK65" i="2"/>
  <c r="AU65" i="2" s="1"/>
  <c r="AF65" i="2"/>
  <c r="AA65" i="2"/>
  <c r="V65" i="2"/>
  <c r="Q65" i="2"/>
  <c r="L65" i="2"/>
  <c r="G65" i="2"/>
  <c r="CK64" i="2"/>
  <c r="CI64" i="2"/>
  <c r="CH64" i="2"/>
  <c r="CG64" i="2"/>
  <c r="CF64" i="2"/>
  <c r="CD64" i="2"/>
  <c r="CC64" i="2"/>
  <c r="CM64" i="2" s="1"/>
  <c r="CB64" i="2"/>
  <c r="CA64" i="2"/>
  <c r="BY64" i="2"/>
  <c r="BX64" i="2"/>
  <c r="BW64" i="2"/>
  <c r="BV64" i="2"/>
  <c r="BT64" i="2"/>
  <c r="CN64" i="2" s="1"/>
  <c r="BS64" i="2"/>
  <c r="BR64" i="2"/>
  <c r="CL64" i="2" s="1"/>
  <c r="BQ64" i="2"/>
  <c r="BO64" i="2"/>
  <c r="CJ64" i="2" s="1"/>
  <c r="BJ64" i="2"/>
  <c r="CE64" i="2" s="1"/>
  <c r="BE64" i="2"/>
  <c r="BZ64" i="2" s="1"/>
  <c r="AZ64" i="2"/>
  <c r="BU64" i="2" s="1"/>
  <c r="AT64" i="2"/>
  <c r="AS64" i="2"/>
  <c r="AR64" i="2"/>
  <c r="AQ64" i="2"/>
  <c r="AP64" i="2"/>
  <c r="AO64" i="2"/>
  <c r="AN64" i="2"/>
  <c r="AM64" i="2"/>
  <c r="AL64" i="2"/>
  <c r="AK64" i="2"/>
  <c r="AU64" i="2" s="1"/>
  <c r="AF64" i="2"/>
  <c r="AA64" i="2"/>
  <c r="V64" i="2"/>
  <c r="Q64" i="2"/>
  <c r="L64" i="2"/>
  <c r="G64" i="2"/>
  <c r="CI63" i="2"/>
  <c r="CH63" i="2"/>
  <c r="CG63" i="2"/>
  <c r="CF63" i="2"/>
  <c r="CD63" i="2"/>
  <c r="CC63" i="2"/>
  <c r="CB63" i="2"/>
  <c r="CA63" i="2"/>
  <c r="BY63" i="2"/>
  <c r="BX63" i="2"/>
  <c r="BW63" i="2"/>
  <c r="BV63" i="2"/>
  <c r="BT63" i="2"/>
  <c r="BS63" i="2"/>
  <c r="CM63" i="2" s="1"/>
  <c r="BR63" i="2"/>
  <c r="CL63" i="2" s="1"/>
  <c r="BQ63" i="2"/>
  <c r="CK63" i="2" s="1"/>
  <c r="BO63" i="2"/>
  <c r="CJ63" i="2" s="1"/>
  <c r="BJ63" i="2"/>
  <c r="CE63" i="2" s="1"/>
  <c r="BE63" i="2"/>
  <c r="BZ63" i="2" s="1"/>
  <c r="AZ63" i="2"/>
  <c r="BU63" i="2" s="1"/>
  <c r="AT63" i="2"/>
  <c r="AS63" i="2"/>
  <c r="AR63" i="2"/>
  <c r="AQ63" i="2"/>
  <c r="AO63" i="2"/>
  <c r="AN63" i="2"/>
  <c r="AM63" i="2"/>
  <c r="AL63" i="2"/>
  <c r="AK63" i="2"/>
  <c r="AU63" i="2" s="1"/>
  <c r="AF63" i="2"/>
  <c r="AP63" i="2" s="1"/>
  <c r="AA63" i="2"/>
  <c r="V63" i="2"/>
  <c r="Q63" i="2"/>
  <c r="L63" i="2"/>
  <c r="G63" i="2"/>
  <c r="CI62" i="2"/>
  <c r="CH62" i="2"/>
  <c r="CG62" i="2"/>
  <c r="CF62" i="2"/>
  <c r="CD62" i="2"/>
  <c r="CC62" i="2"/>
  <c r="CB62" i="2"/>
  <c r="CA62" i="2"/>
  <c r="BY62" i="2"/>
  <c r="BX62" i="2"/>
  <c r="BW62" i="2"/>
  <c r="BV62" i="2"/>
  <c r="BT62" i="2"/>
  <c r="CN62" i="2" s="1"/>
  <c r="BS62" i="2"/>
  <c r="CM62" i="2" s="1"/>
  <c r="BR62" i="2"/>
  <c r="CL62" i="2" s="1"/>
  <c r="BQ62" i="2"/>
  <c r="CK62" i="2" s="1"/>
  <c r="BO62" i="2"/>
  <c r="CJ62" i="2" s="1"/>
  <c r="BJ62" i="2"/>
  <c r="CE62" i="2" s="1"/>
  <c r="BE62" i="2"/>
  <c r="BZ62" i="2" s="1"/>
  <c r="CO62" i="2" s="1"/>
  <c r="AZ62" i="2"/>
  <c r="BU62" i="2" s="1"/>
  <c r="AT62" i="2"/>
  <c r="AS62" i="2"/>
  <c r="AR62" i="2"/>
  <c r="AQ62" i="2"/>
  <c r="AO62" i="2"/>
  <c r="AN62" i="2"/>
  <c r="AM62" i="2"/>
  <c r="AL62" i="2"/>
  <c r="AK62" i="2"/>
  <c r="AU62" i="2" s="1"/>
  <c r="AF62" i="2"/>
  <c r="AP62" i="2" s="1"/>
  <c r="AA62" i="2"/>
  <c r="V62" i="2"/>
  <c r="Q62" i="2"/>
  <c r="L62" i="2"/>
  <c r="G62" i="2"/>
  <c r="CM61" i="2"/>
  <c r="CI61" i="2"/>
  <c r="CH61" i="2"/>
  <c r="CG61" i="2"/>
  <c r="CF61" i="2"/>
  <c r="CD61" i="2"/>
  <c r="CC61" i="2"/>
  <c r="CB61" i="2"/>
  <c r="CA61" i="2"/>
  <c r="BY61" i="2"/>
  <c r="BX61" i="2"/>
  <c r="BW61" i="2"/>
  <c r="BV61" i="2"/>
  <c r="BT61" i="2"/>
  <c r="CN61" i="2" s="1"/>
  <c r="BS61" i="2"/>
  <c r="BR61" i="2"/>
  <c r="BQ61" i="2"/>
  <c r="CK61" i="2" s="1"/>
  <c r="BO61" i="2"/>
  <c r="CJ61" i="2" s="1"/>
  <c r="BJ61" i="2"/>
  <c r="CE61" i="2" s="1"/>
  <c r="BE61" i="2"/>
  <c r="BZ61" i="2" s="1"/>
  <c r="AZ61" i="2"/>
  <c r="BU61" i="2" s="1"/>
  <c r="AT61" i="2"/>
  <c r="AS61" i="2"/>
  <c r="AR61" i="2"/>
  <c r="AQ61" i="2"/>
  <c r="AP61" i="2"/>
  <c r="AO61" i="2"/>
  <c r="AN61" i="2"/>
  <c r="AM61" i="2"/>
  <c r="AL61" i="2"/>
  <c r="AK61" i="2"/>
  <c r="AU61" i="2" s="1"/>
  <c r="AF61" i="2"/>
  <c r="AA61" i="2"/>
  <c r="V61" i="2"/>
  <c r="Q61" i="2"/>
  <c r="L61" i="2"/>
  <c r="G61" i="2"/>
  <c r="CC60" i="2"/>
  <c r="BN60" i="2"/>
  <c r="CI60" i="2" s="1"/>
  <c r="BM60" i="2"/>
  <c r="CH60" i="2" s="1"/>
  <c r="BL60" i="2"/>
  <c r="CG60" i="2" s="1"/>
  <c r="BK60" i="2"/>
  <c r="CF60" i="2" s="1"/>
  <c r="BI60" i="2"/>
  <c r="BH60" i="2"/>
  <c r="BG60" i="2"/>
  <c r="CB60" i="2" s="1"/>
  <c r="BF60" i="2"/>
  <c r="CA60" i="2" s="1"/>
  <c r="BD60" i="2"/>
  <c r="BY60" i="2" s="1"/>
  <c r="BC60" i="2"/>
  <c r="BX60" i="2" s="1"/>
  <c r="BB60" i="2"/>
  <c r="BW60" i="2" s="1"/>
  <c r="BA60" i="2"/>
  <c r="BV60" i="2" s="1"/>
  <c r="AY60" i="2"/>
  <c r="AX60" i="2"/>
  <c r="BS60" i="2" s="1"/>
  <c r="AW60" i="2"/>
  <c r="BR60" i="2" s="1"/>
  <c r="AV60" i="2"/>
  <c r="AN60" i="2"/>
  <c r="AJ60" i="2"/>
  <c r="AI60" i="2"/>
  <c r="AS60" i="2" s="1"/>
  <c r="AH60" i="2"/>
  <c r="AR60" i="2" s="1"/>
  <c r="AG60" i="2"/>
  <c r="AK60" i="2" s="1"/>
  <c r="AF60" i="2"/>
  <c r="AE60" i="2"/>
  <c r="AD60" i="2"/>
  <c r="AC60" i="2"/>
  <c r="AM60" i="2" s="1"/>
  <c r="AB60" i="2"/>
  <c r="AL60" i="2" s="1"/>
  <c r="Z60" i="2"/>
  <c r="Y60" i="2"/>
  <c r="X60" i="2"/>
  <c r="W60" i="2"/>
  <c r="U60" i="2"/>
  <c r="T60" i="2"/>
  <c r="S60" i="2"/>
  <c r="R60" i="2"/>
  <c r="V60" i="2" s="1"/>
  <c r="P60" i="2"/>
  <c r="O60" i="2"/>
  <c r="N60" i="2"/>
  <c r="M60" i="2"/>
  <c r="K60" i="2"/>
  <c r="J60" i="2"/>
  <c r="I60" i="2"/>
  <c r="H60" i="2"/>
  <c r="L60" i="2" s="1"/>
  <c r="F60" i="2"/>
  <c r="G60" i="2" s="1"/>
  <c r="E60" i="2"/>
  <c r="CK59" i="2"/>
  <c r="CI59" i="2"/>
  <c r="CH59" i="2"/>
  <c r="CG59" i="2"/>
  <c r="CF59" i="2"/>
  <c r="CD59" i="2"/>
  <c r="CC59" i="2"/>
  <c r="CB59" i="2"/>
  <c r="CA59" i="2"/>
  <c r="BY59" i="2"/>
  <c r="BX59" i="2"/>
  <c r="BW59" i="2"/>
  <c r="BV59" i="2"/>
  <c r="BT59" i="2"/>
  <c r="CN59" i="2" s="1"/>
  <c r="BS59" i="2"/>
  <c r="BR59" i="2"/>
  <c r="CL59" i="2" s="1"/>
  <c r="BQ59" i="2"/>
  <c r="BO59" i="2"/>
  <c r="CJ59" i="2" s="1"/>
  <c r="BJ59" i="2"/>
  <c r="CE59" i="2" s="1"/>
  <c r="BE59" i="2"/>
  <c r="BZ59" i="2" s="1"/>
  <c r="CO59" i="2" s="1"/>
  <c r="AZ59" i="2"/>
  <c r="BU59" i="2" s="1"/>
  <c r="AT59" i="2"/>
  <c r="AS59" i="2"/>
  <c r="AR59" i="2"/>
  <c r="AQ59" i="2"/>
  <c r="AO59" i="2"/>
  <c r="AN59" i="2"/>
  <c r="AM59" i="2"/>
  <c r="AL59" i="2"/>
  <c r="AK59" i="2"/>
  <c r="AU59" i="2" s="1"/>
  <c r="AF59" i="2"/>
  <c r="AP59" i="2" s="1"/>
  <c r="AA59" i="2"/>
  <c r="V59" i="2"/>
  <c r="Q59" i="2"/>
  <c r="L59" i="2"/>
  <c r="G59" i="2"/>
  <c r="CI58" i="2"/>
  <c r="CH58" i="2"/>
  <c r="CG58" i="2"/>
  <c r="CF58" i="2"/>
  <c r="CD58" i="2"/>
  <c r="CC58" i="2"/>
  <c r="CB58" i="2"/>
  <c r="CA58" i="2"/>
  <c r="BY58" i="2"/>
  <c r="BX58" i="2"/>
  <c r="BW58" i="2"/>
  <c r="BV58" i="2"/>
  <c r="BT58" i="2"/>
  <c r="BS58" i="2"/>
  <c r="CM58" i="2" s="1"/>
  <c r="BR58" i="2"/>
  <c r="CL58" i="2" s="1"/>
  <c r="BQ58" i="2"/>
  <c r="CK58" i="2" s="1"/>
  <c r="BO58" i="2"/>
  <c r="CJ58" i="2" s="1"/>
  <c r="BJ58" i="2"/>
  <c r="CE58" i="2" s="1"/>
  <c r="BE58" i="2"/>
  <c r="BZ58" i="2" s="1"/>
  <c r="AZ58" i="2"/>
  <c r="BU58" i="2" s="1"/>
  <c r="AT58" i="2"/>
  <c r="AS58" i="2"/>
  <c r="AR58" i="2"/>
  <c r="AQ58" i="2"/>
  <c r="AO58" i="2"/>
  <c r="AN58" i="2"/>
  <c r="AM58" i="2"/>
  <c r="AL58" i="2"/>
  <c r="AK58" i="2"/>
  <c r="AU58" i="2" s="1"/>
  <c r="AF58" i="2"/>
  <c r="AP58" i="2" s="1"/>
  <c r="AA58" i="2"/>
  <c r="V58" i="2"/>
  <c r="Q58" i="2"/>
  <c r="L58" i="2"/>
  <c r="G58" i="2"/>
  <c r="CI57" i="2"/>
  <c r="CH57" i="2"/>
  <c r="CG57" i="2"/>
  <c r="CF57" i="2"/>
  <c r="CD57" i="2"/>
  <c r="CC57" i="2"/>
  <c r="CB57" i="2"/>
  <c r="CA57" i="2"/>
  <c r="BY57" i="2"/>
  <c r="BX57" i="2"/>
  <c r="BW57" i="2"/>
  <c r="BV57" i="2"/>
  <c r="BT57" i="2"/>
  <c r="CN57" i="2" s="1"/>
  <c r="BS57" i="2"/>
  <c r="CM57" i="2" s="1"/>
  <c r="BR57" i="2"/>
  <c r="BQ57" i="2"/>
  <c r="CK57" i="2" s="1"/>
  <c r="BO57" i="2"/>
  <c r="CJ57" i="2" s="1"/>
  <c r="BJ57" i="2"/>
  <c r="CE57" i="2" s="1"/>
  <c r="BE57" i="2"/>
  <c r="BZ57" i="2" s="1"/>
  <c r="AZ57" i="2"/>
  <c r="BU57" i="2" s="1"/>
  <c r="CO57" i="2" s="1"/>
  <c r="AT57" i="2"/>
  <c r="AS57" i="2"/>
  <c r="AR57" i="2"/>
  <c r="AQ57" i="2"/>
  <c r="AO57" i="2"/>
  <c r="AN57" i="2"/>
  <c r="AM57" i="2"/>
  <c r="AL57" i="2"/>
  <c r="AK57" i="2"/>
  <c r="AU57" i="2" s="1"/>
  <c r="AF57" i="2"/>
  <c r="AP57" i="2" s="1"/>
  <c r="AA57" i="2"/>
  <c r="V57" i="2"/>
  <c r="Q57" i="2"/>
  <c r="L57" i="2"/>
  <c r="G57" i="2"/>
  <c r="BW56" i="2"/>
  <c r="BN56" i="2"/>
  <c r="CI56" i="2" s="1"/>
  <c r="BM56" i="2"/>
  <c r="CH56" i="2" s="1"/>
  <c r="BL56" i="2"/>
  <c r="CG56" i="2" s="1"/>
  <c r="BK56" i="2"/>
  <c r="CF56" i="2" s="1"/>
  <c r="BI56" i="2"/>
  <c r="CD56" i="2" s="1"/>
  <c r="BH56" i="2"/>
  <c r="CC56" i="2" s="1"/>
  <c r="BG56" i="2"/>
  <c r="CB56" i="2" s="1"/>
  <c r="BF56" i="2"/>
  <c r="BD56" i="2"/>
  <c r="BE56" i="2" s="1"/>
  <c r="BC56" i="2"/>
  <c r="BX56" i="2" s="1"/>
  <c r="BB56" i="2"/>
  <c r="BA56" i="2"/>
  <c r="BV56" i="2" s="1"/>
  <c r="AY56" i="2"/>
  <c r="BT56" i="2" s="1"/>
  <c r="AX56" i="2"/>
  <c r="BS56" i="2" s="1"/>
  <c r="CM56" i="2" s="1"/>
  <c r="AW56" i="2"/>
  <c r="BR56" i="2" s="1"/>
  <c r="CL56" i="2" s="1"/>
  <c r="AV56" i="2"/>
  <c r="BQ56" i="2" s="1"/>
  <c r="AJ56" i="2"/>
  <c r="AT56" i="2" s="1"/>
  <c r="AI56" i="2"/>
  <c r="AS56" i="2" s="1"/>
  <c r="AH56" i="2"/>
  <c r="AR56" i="2" s="1"/>
  <c r="AG56" i="2"/>
  <c r="AE56" i="2"/>
  <c r="AO56" i="2" s="1"/>
  <c r="AD56" i="2"/>
  <c r="AN56" i="2" s="1"/>
  <c r="AC56" i="2"/>
  <c r="AM56" i="2" s="1"/>
  <c r="AB56" i="2"/>
  <c r="AF56" i="2" s="1"/>
  <c r="AP56" i="2" s="1"/>
  <c r="Z56" i="2"/>
  <c r="Y56" i="2"/>
  <c r="X56" i="2"/>
  <c r="W56" i="2"/>
  <c r="U56" i="2"/>
  <c r="T56" i="2"/>
  <c r="S56" i="2"/>
  <c r="R56" i="2"/>
  <c r="V56" i="2" s="1"/>
  <c r="P56" i="2"/>
  <c r="O56" i="2"/>
  <c r="N56" i="2"/>
  <c r="M56" i="2"/>
  <c r="Q56" i="2" s="1"/>
  <c r="K56" i="2"/>
  <c r="J56" i="2"/>
  <c r="I56" i="2"/>
  <c r="H56" i="2"/>
  <c r="F56" i="2"/>
  <c r="G56" i="2" s="1"/>
  <c r="E56" i="2"/>
  <c r="CM55" i="2"/>
  <c r="CI55" i="2"/>
  <c r="CH55" i="2"/>
  <c r="CG55" i="2"/>
  <c r="CF55" i="2"/>
  <c r="CD55" i="2"/>
  <c r="CC55" i="2"/>
  <c r="CB55" i="2"/>
  <c r="CA55" i="2"/>
  <c r="BY55" i="2"/>
  <c r="BX55" i="2"/>
  <c r="BW55" i="2"/>
  <c r="BV55" i="2"/>
  <c r="BT55" i="2"/>
  <c r="CN55" i="2" s="1"/>
  <c r="BS55" i="2"/>
  <c r="BR55" i="2"/>
  <c r="BQ55" i="2"/>
  <c r="CK55" i="2" s="1"/>
  <c r="BO55" i="2"/>
  <c r="CJ55" i="2" s="1"/>
  <c r="BJ55" i="2"/>
  <c r="CE55" i="2" s="1"/>
  <c r="BE55" i="2"/>
  <c r="BZ55" i="2" s="1"/>
  <c r="AZ55" i="2"/>
  <c r="BU55" i="2" s="1"/>
  <c r="AT55" i="2"/>
  <c r="AS55" i="2"/>
  <c r="AR55" i="2"/>
  <c r="AQ55" i="2"/>
  <c r="AP55" i="2"/>
  <c r="AO55" i="2"/>
  <c r="AN55" i="2"/>
  <c r="AM55" i="2"/>
  <c r="AL55" i="2"/>
  <c r="AK55" i="2"/>
  <c r="AU55" i="2" s="1"/>
  <c r="AF55" i="2"/>
  <c r="AA55" i="2"/>
  <c r="V55" i="2"/>
  <c r="Q55" i="2"/>
  <c r="L55" i="2"/>
  <c r="G55" i="2"/>
  <c r="CK54" i="2"/>
  <c r="CI54" i="2"/>
  <c r="CH54" i="2"/>
  <c r="CG54" i="2"/>
  <c r="CF54" i="2"/>
  <c r="CD54" i="2"/>
  <c r="CC54" i="2"/>
  <c r="CB54" i="2"/>
  <c r="CA54" i="2"/>
  <c r="BY54" i="2"/>
  <c r="BX54" i="2"/>
  <c r="BW54" i="2"/>
  <c r="BV54" i="2"/>
  <c r="BT54" i="2"/>
  <c r="CN54" i="2" s="1"/>
  <c r="BS54" i="2"/>
  <c r="BR54" i="2"/>
  <c r="CL54" i="2" s="1"/>
  <c r="BQ54" i="2"/>
  <c r="BO54" i="2"/>
  <c r="CJ54" i="2" s="1"/>
  <c r="BJ54" i="2"/>
  <c r="CE54" i="2" s="1"/>
  <c r="BE54" i="2"/>
  <c r="BZ54" i="2" s="1"/>
  <c r="CO54" i="2" s="1"/>
  <c r="AZ54" i="2"/>
  <c r="BU54" i="2" s="1"/>
  <c r="AT54" i="2"/>
  <c r="AS54" i="2"/>
  <c r="AR54" i="2"/>
  <c r="AQ54" i="2"/>
  <c r="AO54" i="2"/>
  <c r="AN54" i="2"/>
  <c r="AM54" i="2"/>
  <c r="AL54" i="2"/>
  <c r="AK54" i="2"/>
  <c r="AU54" i="2" s="1"/>
  <c r="AF54" i="2"/>
  <c r="AP54" i="2" s="1"/>
  <c r="AA54" i="2"/>
  <c r="V54" i="2"/>
  <c r="Q54" i="2"/>
  <c r="L54" i="2"/>
  <c r="G54" i="2"/>
  <c r="CI53" i="2"/>
  <c r="CH53" i="2"/>
  <c r="CG53" i="2"/>
  <c r="CF53" i="2"/>
  <c r="CD53" i="2"/>
  <c r="CC53" i="2"/>
  <c r="CB53" i="2"/>
  <c r="CA53" i="2"/>
  <c r="BY53" i="2"/>
  <c r="BX53" i="2"/>
  <c r="BW53" i="2"/>
  <c r="BV53" i="2"/>
  <c r="BT53" i="2"/>
  <c r="BS53" i="2"/>
  <c r="CM53" i="2" s="1"/>
  <c r="BR53" i="2"/>
  <c r="CL53" i="2" s="1"/>
  <c r="BQ53" i="2"/>
  <c r="CK53" i="2" s="1"/>
  <c r="BO53" i="2"/>
  <c r="CJ53" i="2" s="1"/>
  <c r="BJ53" i="2"/>
  <c r="CE53" i="2" s="1"/>
  <c r="BE53" i="2"/>
  <c r="BZ53" i="2" s="1"/>
  <c r="AZ53" i="2"/>
  <c r="BU53" i="2" s="1"/>
  <c r="AT53" i="2"/>
  <c r="AS53" i="2"/>
  <c r="AR53" i="2"/>
  <c r="AQ53" i="2"/>
  <c r="AO53" i="2"/>
  <c r="AN53" i="2"/>
  <c r="AM53" i="2"/>
  <c r="AL53" i="2"/>
  <c r="AK53" i="2"/>
  <c r="AU53" i="2" s="1"/>
  <c r="AF53" i="2"/>
  <c r="AP53" i="2" s="1"/>
  <c r="AA53" i="2"/>
  <c r="V53" i="2"/>
  <c r="Q53" i="2"/>
  <c r="L53" i="2"/>
  <c r="G53" i="2"/>
  <c r="CG52" i="2"/>
  <c r="BY52" i="2"/>
  <c r="BQ52" i="2"/>
  <c r="BN52" i="2"/>
  <c r="CI52" i="2" s="1"/>
  <c r="BM52" i="2"/>
  <c r="CH52" i="2" s="1"/>
  <c r="BL52" i="2"/>
  <c r="BK52" i="2"/>
  <c r="CF52" i="2" s="1"/>
  <c r="BI52" i="2"/>
  <c r="CD52" i="2" s="1"/>
  <c r="BH52" i="2"/>
  <c r="CC52" i="2" s="1"/>
  <c r="BG52" i="2"/>
  <c r="CB52" i="2" s="1"/>
  <c r="BF52" i="2"/>
  <c r="CA52" i="2" s="1"/>
  <c r="BD52" i="2"/>
  <c r="BC52" i="2"/>
  <c r="BX52" i="2" s="1"/>
  <c r="BB52" i="2"/>
  <c r="BW52" i="2" s="1"/>
  <c r="BA52" i="2"/>
  <c r="BV52" i="2" s="1"/>
  <c r="AZ52" i="2"/>
  <c r="BU52" i="2" s="1"/>
  <c r="AY52" i="2"/>
  <c r="BT52" i="2" s="1"/>
  <c r="AX52" i="2"/>
  <c r="BS52" i="2" s="1"/>
  <c r="AW52" i="2"/>
  <c r="BR52" i="2" s="1"/>
  <c r="AV52" i="2"/>
  <c r="AR52" i="2"/>
  <c r="AJ52" i="2"/>
  <c r="AT52" i="2" s="1"/>
  <c r="AI52" i="2"/>
  <c r="AS52" i="2" s="1"/>
  <c r="AH52" i="2"/>
  <c r="AG52" i="2"/>
  <c r="AQ52" i="2" s="1"/>
  <c r="AE52" i="2"/>
  <c r="AO52" i="2" s="1"/>
  <c r="AD52" i="2"/>
  <c r="AN52" i="2" s="1"/>
  <c r="AC52" i="2"/>
  <c r="AM52" i="2" s="1"/>
  <c r="AB52" i="2"/>
  <c r="Z52" i="2"/>
  <c r="Y52" i="2"/>
  <c r="X52" i="2"/>
  <c r="W52" i="2"/>
  <c r="AA52" i="2" s="1"/>
  <c r="U52" i="2"/>
  <c r="T52" i="2"/>
  <c r="S52" i="2"/>
  <c r="R52" i="2"/>
  <c r="V52" i="2" s="1"/>
  <c r="P52" i="2"/>
  <c r="O52" i="2"/>
  <c r="N52" i="2"/>
  <c r="M52" i="2"/>
  <c r="Q52" i="2" s="1"/>
  <c r="L52" i="2"/>
  <c r="K52" i="2"/>
  <c r="J52" i="2"/>
  <c r="I52" i="2"/>
  <c r="H52" i="2"/>
  <c r="F52" i="2"/>
  <c r="G52" i="2" s="1"/>
  <c r="E52" i="2"/>
  <c r="CI51" i="2"/>
  <c r="CH51" i="2"/>
  <c r="CG51" i="2"/>
  <c r="CF51" i="2"/>
  <c r="CD51" i="2"/>
  <c r="CC51" i="2"/>
  <c r="CB51" i="2"/>
  <c r="CA51" i="2"/>
  <c r="BY51" i="2"/>
  <c r="BX51" i="2"/>
  <c r="BW51" i="2"/>
  <c r="BV51" i="2"/>
  <c r="BT51" i="2"/>
  <c r="CN51" i="2" s="1"/>
  <c r="BS51" i="2"/>
  <c r="CM51" i="2" s="1"/>
  <c r="BR51" i="2"/>
  <c r="BQ51" i="2"/>
  <c r="CK51" i="2" s="1"/>
  <c r="BO51" i="2"/>
  <c r="CJ51" i="2" s="1"/>
  <c r="BJ51" i="2"/>
  <c r="CE51" i="2" s="1"/>
  <c r="BE51" i="2"/>
  <c r="BZ51" i="2" s="1"/>
  <c r="CO51" i="2" s="1"/>
  <c r="AZ51" i="2"/>
  <c r="BU51" i="2" s="1"/>
  <c r="AT51" i="2"/>
  <c r="AS51" i="2"/>
  <c r="AR51" i="2"/>
  <c r="AQ51" i="2"/>
  <c r="AO51" i="2"/>
  <c r="AN51" i="2"/>
  <c r="AM51" i="2"/>
  <c r="AL51" i="2"/>
  <c r="AK51" i="2"/>
  <c r="AU51" i="2" s="1"/>
  <c r="AF51" i="2"/>
  <c r="AP51" i="2" s="1"/>
  <c r="AA51" i="2"/>
  <c r="V51" i="2"/>
  <c r="Q51" i="2"/>
  <c r="L51" i="2"/>
  <c r="G51" i="2"/>
  <c r="CM50" i="2"/>
  <c r="CI50" i="2"/>
  <c r="CH50" i="2"/>
  <c r="CG50" i="2"/>
  <c r="CF50" i="2"/>
  <c r="CD50" i="2"/>
  <c r="CC50" i="2"/>
  <c r="CB50" i="2"/>
  <c r="CA50" i="2"/>
  <c r="BY50" i="2"/>
  <c r="BX50" i="2"/>
  <c r="BW50" i="2"/>
  <c r="BV50" i="2"/>
  <c r="BT50" i="2"/>
  <c r="CN50" i="2" s="1"/>
  <c r="BS50" i="2"/>
  <c r="BR50" i="2"/>
  <c r="CL50" i="2" s="1"/>
  <c r="BQ50" i="2"/>
  <c r="CK50" i="2" s="1"/>
  <c r="BO50" i="2"/>
  <c r="CJ50" i="2" s="1"/>
  <c r="BJ50" i="2"/>
  <c r="CE50" i="2" s="1"/>
  <c r="BE50" i="2"/>
  <c r="BZ50" i="2" s="1"/>
  <c r="AZ50" i="2"/>
  <c r="BU50" i="2" s="1"/>
  <c r="AT50" i="2"/>
  <c r="AS50" i="2"/>
  <c r="AR50" i="2"/>
  <c r="AQ50" i="2"/>
  <c r="AP50" i="2"/>
  <c r="AO50" i="2"/>
  <c r="AN50" i="2"/>
  <c r="AM50" i="2"/>
  <c r="AL50" i="2"/>
  <c r="AK50" i="2"/>
  <c r="AU50" i="2" s="1"/>
  <c r="AF50" i="2"/>
  <c r="AA50" i="2"/>
  <c r="V50" i="2"/>
  <c r="Q50" i="2"/>
  <c r="L50" i="2"/>
  <c r="G50" i="2"/>
  <c r="CK49" i="2"/>
  <c r="CI49" i="2"/>
  <c r="CH49" i="2"/>
  <c r="CG49" i="2"/>
  <c r="CF49" i="2"/>
  <c r="CD49" i="2"/>
  <c r="CC49" i="2"/>
  <c r="CB49" i="2"/>
  <c r="CA49" i="2"/>
  <c r="BY49" i="2"/>
  <c r="BX49" i="2"/>
  <c r="BW49" i="2"/>
  <c r="BV49" i="2"/>
  <c r="BT49" i="2"/>
  <c r="CN49" i="2" s="1"/>
  <c r="BS49" i="2"/>
  <c r="CM49" i="2" s="1"/>
  <c r="BR49" i="2"/>
  <c r="CL49" i="2" s="1"/>
  <c r="BQ49" i="2"/>
  <c r="BO49" i="2"/>
  <c r="CJ49" i="2" s="1"/>
  <c r="BJ49" i="2"/>
  <c r="CE49" i="2" s="1"/>
  <c r="BE49" i="2"/>
  <c r="BZ49" i="2" s="1"/>
  <c r="AZ49" i="2"/>
  <c r="BU49" i="2" s="1"/>
  <c r="AT49" i="2"/>
  <c r="AS49" i="2"/>
  <c r="AR49" i="2"/>
  <c r="AQ49" i="2"/>
  <c r="AO49" i="2"/>
  <c r="AN49" i="2"/>
  <c r="AM49" i="2"/>
  <c r="AL49" i="2"/>
  <c r="AK49" i="2"/>
  <c r="AU49" i="2" s="1"/>
  <c r="AF49" i="2"/>
  <c r="AP49" i="2" s="1"/>
  <c r="AA49" i="2"/>
  <c r="V49" i="2"/>
  <c r="Q49" i="2"/>
  <c r="L49" i="2"/>
  <c r="G49" i="2"/>
  <c r="CI48" i="2"/>
  <c r="CH48" i="2"/>
  <c r="CG48" i="2"/>
  <c r="CF48" i="2"/>
  <c r="CD48" i="2"/>
  <c r="CC48" i="2"/>
  <c r="CB48" i="2"/>
  <c r="CA48" i="2"/>
  <c r="BY48" i="2"/>
  <c r="BX48" i="2"/>
  <c r="BW48" i="2"/>
  <c r="BV48" i="2"/>
  <c r="BT48" i="2"/>
  <c r="CN48" i="2" s="1"/>
  <c r="BS48" i="2"/>
  <c r="CM48" i="2" s="1"/>
  <c r="BR48" i="2"/>
  <c r="CL48" i="2" s="1"/>
  <c r="BQ48" i="2"/>
  <c r="CK48" i="2" s="1"/>
  <c r="BO48" i="2"/>
  <c r="CJ48" i="2" s="1"/>
  <c r="BJ48" i="2"/>
  <c r="CE48" i="2" s="1"/>
  <c r="BE48" i="2"/>
  <c r="BZ48" i="2" s="1"/>
  <c r="AZ48" i="2"/>
  <c r="BU48" i="2" s="1"/>
  <c r="AT48" i="2"/>
  <c r="AS48" i="2"/>
  <c r="AR48" i="2"/>
  <c r="AQ48" i="2"/>
  <c r="AO48" i="2"/>
  <c r="AN48" i="2"/>
  <c r="AM48" i="2"/>
  <c r="AL48" i="2"/>
  <c r="AK48" i="2"/>
  <c r="AU48" i="2" s="1"/>
  <c r="AF48" i="2"/>
  <c r="AP48" i="2" s="1"/>
  <c r="AA48" i="2"/>
  <c r="V48" i="2"/>
  <c r="Q48" i="2"/>
  <c r="L48" i="2"/>
  <c r="G48" i="2"/>
  <c r="CI47" i="2"/>
  <c r="CH47" i="2"/>
  <c r="CG47" i="2"/>
  <c r="CF47" i="2"/>
  <c r="CD47" i="2"/>
  <c r="CC47" i="2"/>
  <c r="CB47" i="2"/>
  <c r="CA47" i="2"/>
  <c r="BY47" i="2"/>
  <c r="BX47" i="2"/>
  <c r="BW47" i="2"/>
  <c r="BV47" i="2"/>
  <c r="BT47" i="2"/>
  <c r="BS47" i="2"/>
  <c r="CM47" i="2" s="1"/>
  <c r="BR47" i="2"/>
  <c r="BQ47" i="2"/>
  <c r="CK47" i="2" s="1"/>
  <c r="BO47" i="2"/>
  <c r="CJ47" i="2" s="1"/>
  <c r="BJ47" i="2"/>
  <c r="CE47" i="2" s="1"/>
  <c r="BE47" i="2"/>
  <c r="BZ47" i="2" s="1"/>
  <c r="CO47" i="2" s="1"/>
  <c r="AZ47" i="2"/>
  <c r="BU47" i="2" s="1"/>
  <c r="AT47" i="2"/>
  <c r="AS47" i="2"/>
  <c r="AR47" i="2"/>
  <c r="AQ47" i="2"/>
  <c r="AO47" i="2"/>
  <c r="AN47" i="2"/>
  <c r="AM47" i="2"/>
  <c r="AL47" i="2"/>
  <c r="AK47" i="2"/>
  <c r="AU47" i="2" s="1"/>
  <c r="AF47" i="2"/>
  <c r="AP47" i="2" s="1"/>
  <c r="AA47" i="2"/>
  <c r="V47" i="2"/>
  <c r="Q47" i="2"/>
  <c r="L47" i="2"/>
  <c r="G47" i="2"/>
  <c r="BW46" i="2"/>
  <c r="BN46" i="2"/>
  <c r="CI46" i="2" s="1"/>
  <c r="BM46" i="2"/>
  <c r="CH46" i="2" s="1"/>
  <c r="BL46" i="2"/>
  <c r="CG46" i="2" s="1"/>
  <c r="BK46" i="2"/>
  <c r="CF46" i="2" s="1"/>
  <c r="BI46" i="2"/>
  <c r="CD46" i="2" s="1"/>
  <c r="BH46" i="2"/>
  <c r="CC46" i="2" s="1"/>
  <c r="BG46" i="2"/>
  <c r="CB46" i="2" s="1"/>
  <c r="BF46" i="2"/>
  <c r="BD46" i="2"/>
  <c r="BE46" i="2" s="1"/>
  <c r="BZ46" i="2" s="1"/>
  <c r="BC46" i="2"/>
  <c r="BX46" i="2" s="1"/>
  <c r="BB46" i="2"/>
  <c r="BA46" i="2"/>
  <c r="BV46" i="2" s="1"/>
  <c r="AY46" i="2"/>
  <c r="BT46" i="2" s="1"/>
  <c r="AX46" i="2"/>
  <c r="BS46" i="2" s="1"/>
  <c r="CM46" i="2" s="1"/>
  <c r="AW46" i="2"/>
  <c r="BR46" i="2" s="1"/>
  <c r="AV46" i="2"/>
  <c r="BQ46" i="2" s="1"/>
  <c r="AP46" i="2"/>
  <c r="AJ46" i="2"/>
  <c r="AT46" i="2" s="1"/>
  <c r="AI46" i="2"/>
  <c r="AS46" i="2" s="1"/>
  <c r="AH46" i="2"/>
  <c r="AR46" i="2" s="1"/>
  <c r="AG46" i="2"/>
  <c r="AF46" i="2"/>
  <c r="AE46" i="2"/>
  <c r="AO46" i="2" s="1"/>
  <c r="AD46" i="2"/>
  <c r="AN46" i="2" s="1"/>
  <c r="AC46" i="2"/>
  <c r="AM46" i="2" s="1"/>
  <c r="AB46" i="2"/>
  <c r="AL46" i="2" s="1"/>
  <c r="Z46" i="2"/>
  <c r="Y46" i="2"/>
  <c r="X46" i="2"/>
  <c r="W46" i="2"/>
  <c r="U46" i="2"/>
  <c r="T46" i="2"/>
  <c r="S46" i="2"/>
  <c r="R46" i="2"/>
  <c r="V46" i="2" s="1"/>
  <c r="Q46" i="2"/>
  <c r="P46" i="2"/>
  <c r="O46" i="2"/>
  <c r="N46" i="2"/>
  <c r="M46" i="2"/>
  <c r="K46" i="2"/>
  <c r="J46" i="2"/>
  <c r="I46" i="2"/>
  <c r="H46" i="2"/>
  <c r="L46" i="2" s="1"/>
  <c r="F46" i="2"/>
  <c r="G46" i="2" s="1"/>
  <c r="E46" i="2"/>
  <c r="CM45" i="2"/>
  <c r="CI45" i="2"/>
  <c r="CH45" i="2"/>
  <c r="CG45" i="2"/>
  <c r="CF45" i="2"/>
  <c r="CE45" i="2"/>
  <c r="CD45" i="2"/>
  <c r="CC45" i="2"/>
  <c r="CB45" i="2"/>
  <c r="CA45" i="2"/>
  <c r="BY45" i="2"/>
  <c r="BX45" i="2"/>
  <c r="BW45" i="2"/>
  <c r="BV45" i="2"/>
  <c r="BT45" i="2"/>
  <c r="CN45" i="2" s="1"/>
  <c r="BS45" i="2"/>
  <c r="BR45" i="2"/>
  <c r="BQ45" i="2"/>
  <c r="CK45" i="2" s="1"/>
  <c r="BO45" i="2"/>
  <c r="CJ45" i="2" s="1"/>
  <c r="BJ45" i="2"/>
  <c r="BE45" i="2"/>
  <c r="BZ45" i="2" s="1"/>
  <c r="AZ45" i="2"/>
  <c r="BU45" i="2" s="1"/>
  <c r="AT45" i="2"/>
  <c r="AS45" i="2"/>
  <c r="AR45" i="2"/>
  <c r="AQ45" i="2"/>
  <c r="AP45" i="2"/>
  <c r="AO45" i="2"/>
  <c r="AN45" i="2"/>
  <c r="AM45" i="2"/>
  <c r="AL45" i="2"/>
  <c r="AK45" i="2"/>
  <c r="AU45" i="2" s="1"/>
  <c r="AF45" i="2"/>
  <c r="AA45" i="2"/>
  <c r="V45" i="2"/>
  <c r="Q45" i="2"/>
  <c r="L45" i="2"/>
  <c r="G45" i="2"/>
  <c r="CK44" i="2"/>
  <c r="CI44" i="2"/>
  <c r="CH44" i="2"/>
  <c r="CG44" i="2"/>
  <c r="CF44" i="2"/>
  <c r="CD44" i="2"/>
  <c r="CC44" i="2"/>
  <c r="CB44" i="2"/>
  <c r="CA44" i="2"/>
  <c r="BY44" i="2"/>
  <c r="BX44" i="2"/>
  <c r="BW44" i="2"/>
  <c r="BV44" i="2"/>
  <c r="BT44" i="2"/>
  <c r="CN44" i="2" s="1"/>
  <c r="BS44" i="2"/>
  <c r="CM44" i="2" s="1"/>
  <c r="BR44" i="2"/>
  <c r="CL44" i="2" s="1"/>
  <c r="BQ44" i="2"/>
  <c r="BO44" i="2"/>
  <c r="CJ44" i="2" s="1"/>
  <c r="BJ44" i="2"/>
  <c r="CE44" i="2" s="1"/>
  <c r="BE44" i="2"/>
  <c r="BZ44" i="2" s="1"/>
  <c r="AZ44" i="2"/>
  <c r="BU44" i="2" s="1"/>
  <c r="AT44" i="2"/>
  <c r="AS44" i="2"/>
  <c r="AR44" i="2"/>
  <c r="AQ44" i="2"/>
  <c r="AO44" i="2"/>
  <c r="AN44" i="2"/>
  <c r="AM44" i="2"/>
  <c r="AL44" i="2"/>
  <c r="AK44" i="2"/>
  <c r="AU44" i="2" s="1"/>
  <c r="AF44" i="2"/>
  <c r="AP44" i="2" s="1"/>
  <c r="AA44" i="2"/>
  <c r="V44" i="2"/>
  <c r="Q44" i="2"/>
  <c r="L44" i="2"/>
  <c r="G44" i="2"/>
  <c r="CI43" i="2"/>
  <c r="CH43" i="2"/>
  <c r="CG43" i="2"/>
  <c r="CF43" i="2"/>
  <c r="CD43" i="2"/>
  <c r="CC43" i="2"/>
  <c r="CB43" i="2"/>
  <c r="CA43" i="2"/>
  <c r="BY43" i="2"/>
  <c r="BX43" i="2"/>
  <c r="BW43" i="2"/>
  <c r="BV43" i="2"/>
  <c r="BT43" i="2"/>
  <c r="CN43" i="2" s="1"/>
  <c r="BS43" i="2"/>
  <c r="CM43" i="2" s="1"/>
  <c r="BR43" i="2"/>
  <c r="BQ43" i="2"/>
  <c r="CK43" i="2" s="1"/>
  <c r="BO43" i="2"/>
  <c r="BJ43" i="2"/>
  <c r="BE43" i="2"/>
  <c r="BZ43" i="2" s="1"/>
  <c r="AZ43" i="2"/>
  <c r="BU43" i="2" s="1"/>
  <c r="AT43" i="2"/>
  <c r="AS43" i="2"/>
  <c r="AR43" i="2"/>
  <c r="AQ43" i="2"/>
  <c r="AO43" i="2"/>
  <c r="AN43" i="2"/>
  <c r="AM43" i="2"/>
  <c r="AL43" i="2"/>
  <c r="AK43" i="2"/>
  <c r="AF43" i="2"/>
  <c r="AP43" i="2" s="1"/>
  <c r="AA43" i="2"/>
  <c r="V43" i="2"/>
  <c r="Q43" i="2"/>
  <c r="L43" i="2"/>
  <c r="G43" i="2"/>
  <c r="CI42" i="2"/>
  <c r="CH42" i="2"/>
  <c r="CG42" i="2"/>
  <c r="CF42" i="2"/>
  <c r="CD42" i="2"/>
  <c r="CC42" i="2"/>
  <c r="CB42" i="2"/>
  <c r="CA42" i="2"/>
  <c r="BZ42" i="2"/>
  <c r="BY42" i="2"/>
  <c r="BX42" i="2"/>
  <c r="BW42" i="2"/>
  <c r="BV42" i="2"/>
  <c r="BT42" i="2"/>
  <c r="BS42" i="2"/>
  <c r="CM42" i="2" s="1"/>
  <c r="BR42" i="2"/>
  <c r="CL42" i="2" s="1"/>
  <c r="BQ42" i="2"/>
  <c r="BO42" i="2"/>
  <c r="CJ42" i="2" s="1"/>
  <c r="BJ42" i="2"/>
  <c r="CE42" i="2" s="1"/>
  <c r="BE42" i="2"/>
  <c r="AZ42" i="2"/>
  <c r="BU42" i="2" s="1"/>
  <c r="AT42" i="2"/>
  <c r="AS42" i="2"/>
  <c r="AR42" i="2"/>
  <c r="AQ42" i="2"/>
  <c r="AP42" i="2"/>
  <c r="AO42" i="2"/>
  <c r="AN42" i="2"/>
  <c r="AM42" i="2"/>
  <c r="AL42" i="2"/>
  <c r="AK42" i="2"/>
  <c r="AU42" i="2" s="1"/>
  <c r="AF42" i="2"/>
  <c r="AA42" i="2"/>
  <c r="V42" i="2"/>
  <c r="Q42" i="2"/>
  <c r="L42" i="2"/>
  <c r="G42" i="2"/>
  <c r="CI41" i="2"/>
  <c r="CH41" i="2"/>
  <c r="CG41" i="2"/>
  <c r="CF41" i="2"/>
  <c r="CD41" i="2"/>
  <c r="CC41" i="2"/>
  <c r="CB41" i="2"/>
  <c r="CA41" i="2"/>
  <c r="BY41" i="2"/>
  <c r="CN41" i="2" s="1"/>
  <c r="BX41" i="2"/>
  <c r="CM41" i="2" s="1"/>
  <c r="BW41" i="2"/>
  <c r="BV41" i="2"/>
  <c r="BT41" i="2"/>
  <c r="BS41" i="2"/>
  <c r="BR41" i="2"/>
  <c r="CL41" i="2" s="1"/>
  <c r="BQ41" i="2"/>
  <c r="CK41" i="2" s="1"/>
  <c r="BO41" i="2"/>
  <c r="CJ41" i="2" s="1"/>
  <c r="BJ41" i="2"/>
  <c r="CE41" i="2" s="1"/>
  <c r="BE41" i="2"/>
  <c r="BZ41" i="2" s="1"/>
  <c r="CO41" i="2" s="1"/>
  <c r="AZ41" i="2"/>
  <c r="BU41" i="2" s="1"/>
  <c r="AT41" i="2"/>
  <c r="AS41" i="2"/>
  <c r="AR41" i="2"/>
  <c r="AQ41" i="2"/>
  <c r="AO41" i="2"/>
  <c r="AN41" i="2"/>
  <c r="AM41" i="2"/>
  <c r="AL41" i="2"/>
  <c r="AK41" i="2"/>
  <c r="AU41" i="2" s="1"/>
  <c r="AF41" i="2"/>
  <c r="AP41" i="2" s="1"/>
  <c r="AA41" i="2"/>
  <c r="V41" i="2"/>
  <c r="Q41" i="2"/>
  <c r="L41" i="2"/>
  <c r="G41" i="2"/>
  <c r="CM40" i="2"/>
  <c r="CI40" i="2"/>
  <c r="CH40" i="2"/>
  <c r="CG40" i="2"/>
  <c r="CF40" i="2"/>
  <c r="CD40" i="2"/>
  <c r="CC40" i="2"/>
  <c r="CB40" i="2"/>
  <c r="CA40" i="2"/>
  <c r="BY40" i="2"/>
  <c r="BX40" i="2"/>
  <c r="BW40" i="2"/>
  <c r="CL40" i="2" s="1"/>
  <c r="BV40" i="2"/>
  <c r="CK40" i="2" s="1"/>
  <c r="BT40" i="2"/>
  <c r="CN40" i="2" s="1"/>
  <c r="BS40" i="2"/>
  <c r="BR40" i="2"/>
  <c r="BQ40" i="2"/>
  <c r="BO40" i="2"/>
  <c r="CJ40" i="2" s="1"/>
  <c r="BJ40" i="2"/>
  <c r="CE40" i="2" s="1"/>
  <c r="BE40" i="2"/>
  <c r="BZ40" i="2" s="1"/>
  <c r="AZ40" i="2"/>
  <c r="BU40" i="2" s="1"/>
  <c r="AT40" i="2"/>
  <c r="AS40" i="2"/>
  <c r="AR40" i="2"/>
  <c r="AQ40" i="2"/>
  <c r="AP40" i="2"/>
  <c r="AO40" i="2"/>
  <c r="AN40" i="2"/>
  <c r="AM40" i="2"/>
  <c r="AL40" i="2"/>
  <c r="AK40" i="2"/>
  <c r="AU40" i="2" s="1"/>
  <c r="AF40" i="2"/>
  <c r="AA40" i="2"/>
  <c r="V40" i="2"/>
  <c r="Q40" i="2"/>
  <c r="L40" i="2"/>
  <c r="G40" i="2"/>
  <c r="CK39" i="2"/>
  <c r="CI39" i="2"/>
  <c r="CH39" i="2"/>
  <c r="CG39" i="2"/>
  <c r="CF39" i="2"/>
  <c r="CD39" i="2"/>
  <c r="CC39" i="2"/>
  <c r="CB39" i="2"/>
  <c r="CA39" i="2"/>
  <c r="BY39" i="2"/>
  <c r="BX39" i="2"/>
  <c r="BW39" i="2"/>
  <c r="BV39" i="2"/>
  <c r="BT39" i="2"/>
  <c r="CN39" i="2" s="1"/>
  <c r="BS39" i="2"/>
  <c r="CM39" i="2" s="1"/>
  <c r="BR39" i="2"/>
  <c r="CL39" i="2" s="1"/>
  <c r="BQ39" i="2"/>
  <c r="BO39" i="2"/>
  <c r="CJ39" i="2" s="1"/>
  <c r="BJ39" i="2"/>
  <c r="CE39" i="2" s="1"/>
  <c r="BE39" i="2"/>
  <c r="BZ39" i="2" s="1"/>
  <c r="AZ39" i="2"/>
  <c r="BU39" i="2" s="1"/>
  <c r="AT39" i="2"/>
  <c r="AS39" i="2"/>
  <c r="AR39" i="2"/>
  <c r="AQ39" i="2"/>
  <c r="AO39" i="2"/>
  <c r="AN39" i="2"/>
  <c r="AM39" i="2"/>
  <c r="AL39" i="2"/>
  <c r="AK39" i="2"/>
  <c r="AU39" i="2" s="1"/>
  <c r="AF39" i="2"/>
  <c r="AP39" i="2" s="1"/>
  <c r="AA39" i="2"/>
  <c r="V39" i="2"/>
  <c r="Q39" i="2"/>
  <c r="L39" i="2"/>
  <c r="G39" i="2"/>
  <c r="CI38" i="2"/>
  <c r="CH38" i="2"/>
  <c r="CG38" i="2"/>
  <c r="CF38" i="2"/>
  <c r="CD38" i="2"/>
  <c r="CC38" i="2"/>
  <c r="CB38" i="2"/>
  <c r="CA38" i="2"/>
  <c r="BY38" i="2"/>
  <c r="BX38" i="2"/>
  <c r="BW38" i="2"/>
  <c r="BV38" i="2"/>
  <c r="BT38" i="2"/>
  <c r="BS38" i="2"/>
  <c r="CM38" i="2" s="1"/>
  <c r="BR38" i="2"/>
  <c r="CL38" i="2" s="1"/>
  <c r="BQ38" i="2"/>
  <c r="CK38" i="2" s="1"/>
  <c r="BO38" i="2"/>
  <c r="CJ38" i="2" s="1"/>
  <c r="BJ38" i="2"/>
  <c r="CE38" i="2" s="1"/>
  <c r="BE38" i="2"/>
  <c r="BZ38" i="2" s="1"/>
  <c r="AZ38" i="2"/>
  <c r="BU38" i="2" s="1"/>
  <c r="AT38" i="2"/>
  <c r="AS38" i="2"/>
  <c r="AR38" i="2"/>
  <c r="AQ38" i="2"/>
  <c r="AP38" i="2"/>
  <c r="AO38" i="2"/>
  <c r="AN38" i="2"/>
  <c r="AM38" i="2"/>
  <c r="AL38" i="2"/>
  <c r="AK38" i="2"/>
  <c r="AU38" i="2" s="1"/>
  <c r="AF38" i="2"/>
  <c r="AA38" i="2"/>
  <c r="V38" i="2"/>
  <c r="Q38" i="2"/>
  <c r="L38" i="2"/>
  <c r="G38" i="2"/>
  <c r="CG37" i="2"/>
  <c r="BY37" i="2"/>
  <c r="BQ37" i="2"/>
  <c r="BN37" i="2"/>
  <c r="CI37" i="2" s="1"/>
  <c r="BM37" i="2"/>
  <c r="CH37" i="2" s="1"/>
  <c r="BL37" i="2"/>
  <c r="BK37" i="2"/>
  <c r="CF37" i="2" s="1"/>
  <c r="BI37" i="2"/>
  <c r="CD37" i="2" s="1"/>
  <c r="BH37" i="2"/>
  <c r="CC37" i="2" s="1"/>
  <c r="BG37" i="2"/>
  <c r="CB37" i="2" s="1"/>
  <c r="BF37" i="2"/>
  <c r="CA37" i="2" s="1"/>
  <c r="BD37" i="2"/>
  <c r="BC37" i="2"/>
  <c r="BX37" i="2" s="1"/>
  <c r="BB37" i="2"/>
  <c r="BW37" i="2" s="1"/>
  <c r="BA37" i="2"/>
  <c r="BV37" i="2" s="1"/>
  <c r="AZ37" i="2"/>
  <c r="BU37" i="2" s="1"/>
  <c r="AY37" i="2"/>
  <c r="BT37" i="2" s="1"/>
  <c r="AX37" i="2"/>
  <c r="BS37" i="2" s="1"/>
  <c r="CM37" i="2" s="1"/>
  <c r="AW37" i="2"/>
  <c r="BR37" i="2" s="1"/>
  <c r="CL37" i="2" s="1"/>
  <c r="AV37" i="2"/>
  <c r="AR37" i="2"/>
  <c r="AJ37" i="2"/>
  <c r="AT37" i="2" s="1"/>
  <c r="AI37" i="2"/>
  <c r="AS37" i="2" s="1"/>
  <c r="AH37" i="2"/>
  <c r="AG37" i="2"/>
  <c r="AQ37" i="2" s="1"/>
  <c r="AE37" i="2"/>
  <c r="AO37" i="2" s="1"/>
  <c r="AD37" i="2"/>
  <c r="AC37" i="2"/>
  <c r="AM37" i="2" s="1"/>
  <c r="AB37" i="2"/>
  <c r="Z37" i="2"/>
  <c r="Y37" i="2"/>
  <c r="X37" i="2"/>
  <c r="W37" i="2"/>
  <c r="AA37" i="2" s="1"/>
  <c r="U37" i="2"/>
  <c r="T37" i="2"/>
  <c r="V37" i="2" s="1"/>
  <c r="S37" i="2"/>
  <c r="R37" i="2"/>
  <c r="P37" i="2"/>
  <c r="O37" i="2"/>
  <c r="AN37" i="2" s="1"/>
  <c r="N37" i="2"/>
  <c r="M37" i="2"/>
  <c r="Q37" i="2" s="1"/>
  <c r="L37" i="2"/>
  <c r="K37" i="2"/>
  <c r="J37" i="2"/>
  <c r="I37" i="2"/>
  <c r="H37" i="2"/>
  <c r="F37" i="2"/>
  <c r="G37" i="2" s="1"/>
  <c r="E37" i="2"/>
  <c r="CI36" i="2"/>
  <c r="CH36" i="2"/>
  <c r="CG36" i="2"/>
  <c r="CF36" i="2"/>
  <c r="CD36" i="2"/>
  <c r="CC36" i="2"/>
  <c r="CB36" i="2"/>
  <c r="CA36" i="2"/>
  <c r="BY36" i="2"/>
  <c r="BX36" i="2"/>
  <c r="BW36" i="2"/>
  <c r="BV36" i="2"/>
  <c r="BT36" i="2"/>
  <c r="BS36" i="2"/>
  <c r="CM36" i="2" s="1"/>
  <c r="BR36" i="2"/>
  <c r="CL36" i="2" s="1"/>
  <c r="BQ36" i="2"/>
  <c r="CK36" i="2" s="1"/>
  <c r="BO36" i="2"/>
  <c r="CJ36" i="2" s="1"/>
  <c r="BJ36" i="2"/>
  <c r="CE36" i="2" s="1"/>
  <c r="BE36" i="2"/>
  <c r="BZ36" i="2" s="1"/>
  <c r="CO36" i="2" s="1"/>
  <c r="AZ36" i="2"/>
  <c r="BU36" i="2" s="1"/>
  <c r="AT36" i="2"/>
  <c r="AS36" i="2"/>
  <c r="AR36" i="2"/>
  <c r="AQ36" i="2"/>
  <c r="AO36" i="2"/>
  <c r="AN36" i="2"/>
  <c r="AM36" i="2"/>
  <c r="AL36" i="2"/>
  <c r="AK36" i="2"/>
  <c r="AU36" i="2" s="1"/>
  <c r="AF36" i="2"/>
  <c r="AP36" i="2" s="1"/>
  <c r="AA36" i="2"/>
  <c r="V36" i="2"/>
  <c r="Q36" i="2"/>
  <c r="L36" i="2"/>
  <c r="G36" i="2"/>
  <c r="CM35" i="2"/>
  <c r="CI35" i="2"/>
  <c r="CH35" i="2"/>
  <c r="CG35" i="2"/>
  <c r="CF35" i="2"/>
  <c r="CD35" i="2"/>
  <c r="CC35" i="2"/>
  <c r="CB35" i="2"/>
  <c r="CA35" i="2"/>
  <c r="BY35" i="2"/>
  <c r="BX35" i="2"/>
  <c r="BW35" i="2"/>
  <c r="BV35" i="2"/>
  <c r="BT35" i="2"/>
  <c r="CN35" i="2" s="1"/>
  <c r="BS35" i="2"/>
  <c r="BR35" i="2"/>
  <c r="CL35" i="2" s="1"/>
  <c r="BQ35" i="2"/>
  <c r="CK35" i="2" s="1"/>
  <c r="BO35" i="2"/>
  <c r="CJ35" i="2" s="1"/>
  <c r="BJ35" i="2"/>
  <c r="CE35" i="2" s="1"/>
  <c r="BE35" i="2"/>
  <c r="BZ35" i="2" s="1"/>
  <c r="AZ35" i="2"/>
  <c r="BU35" i="2" s="1"/>
  <c r="AT35" i="2"/>
  <c r="AS35" i="2"/>
  <c r="AR35" i="2"/>
  <c r="AQ35" i="2"/>
  <c r="AP35" i="2"/>
  <c r="AO35" i="2"/>
  <c r="AN35" i="2"/>
  <c r="AM35" i="2"/>
  <c r="AL35" i="2"/>
  <c r="AK35" i="2"/>
  <c r="AU35" i="2" s="1"/>
  <c r="AF35" i="2"/>
  <c r="AA35" i="2"/>
  <c r="V35" i="2"/>
  <c r="Q35" i="2"/>
  <c r="L35" i="2"/>
  <c r="G35" i="2"/>
  <c r="CK34" i="2"/>
  <c r="CI34" i="2"/>
  <c r="CH34" i="2"/>
  <c r="CG34" i="2"/>
  <c r="CF34" i="2"/>
  <c r="CD34" i="2"/>
  <c r="CC34" i="2"/>
  <c r="CB34" i="2"/>
  <c r="CA34" i="2"/>
  <c r="BY34" i="2"/>
  <c r="BX34" i="2"/>
  <c r="BW34" i="2"/>
  <c r="BV34" i="2"/>
  <c r="BT34" i="2"/>
  <c r="CN34" i="2" s="1"/>
  <c r="BS34" i="2"/>
  <c r="CM34" i="2" s="1"/>
  <c r="BR34" i="2"/>
  <c r="CL34" i="2" s="1"/>
  <c r="BQ34" i="2"/>
  <c r="BO34" i="2"/>
  <c r="CJ34" i="2" s="1"/>
  <c r="BJ34" i="2"/>
  <c r="CE34" i="2" s="1"/>
  <c r="BE34" i="2"/>
  <c r="BZ34" i="2" s="1"/>
  <c r="AZ34" i="2"/>
  <c r="BU34" i="2" s="1"/>
  <c r="AT34" i="2"/>
  <c r="AS34" i="2"/>
  <c r="AR34" i="2"/>
  <c r="AQ34" i="2"/>
  <c r="AO34" i="2"/>
  <c r="AN34" i="2"/>
  <c r="AM34" i="2"/>
  <c r="AL34" i="2"/>
  <c r="AK34" i="2"/>
  <c r="AU34" i="2" s="1"/>
  <c r="AF34" i="2"/>
  <c r="AP34" i="2" s="1"/>
  <c r="AA34" i="2"/>
  <c r="V34" i="2"/>
  <c r="Q34" i="2"/>
  <c r="L34" i="2"/>
  <c r="G34" i="2"/>
  <c r="CI33" i="2"/>
  <c r="CH33" i="2"/>
  <c r="CG33" i="2"/>
  <c r="CF33" i="2"/>
  <c r="CD33" i="2"/>
  <c r="CC33" i="2"/>
  <c r="CB33" i="2"/>
  <c r="CA33" i="2"/>
  <c r="BY33" i="2"/>
  <c r="BX33" i="2"/>
  <c r="BW33" i="2"/>
  <c r="BV33" i="2"/>
  <c r="BT33" i="2"/>
  <c r="CN33" i="2" s="1"/>
  <c r="BS33" i="2"/>
  <c r="CM33" i="2" s="1"/>
  <c r="BR33" i="2"/>
  <c r="CL33" i="2" s="1"/>
  <c r="BQ33" i="2"/>
  <c r="CK33" i="2" s="1"/>
  <c r="BO33" i="2"/>
  <c r="CJ33" i="2" s="1"/>
  <c r="BJ33" i="2"/>
  <c r="CE33" i="2" s="1"/>
  <c r="BE33" i="2"/>
  <c r="BZ33" i="2" s="1"/>
  <c r="AZ33" i="2"/>
  <c r="BU33" i="2" s="1"/>
  <c r="AT33" i="2"/>
  <c r="AS33" i="2"/>
  <c r="AR33" i="2"/>
  <c r="AQ33" i="2"/>
  <c r="AO33" i="2"/>
  <c r="AN33" i="2"/>
  <c r="AM33" i="2"/>
  <c r="AL33" i="2"/>
  <c r="AK33" i="2"/>
  <c r="AU33" i="2" s="1"/>
  <c r="AF33" i="2"/>
  <c r="AP33" i="2" s="1"/>
  <c r="AA33" i="2"/>
  <c r="V33" i="2"/>
  <c r="Q33" i="2"/>
  <c r="L33" i="2"/>
  <c r="G33" i="2"/>
  <c r="CI32" i="2"/>
  <c r="CH32" i="2"/>
  <c r="CG32" i="2"/>
  <c r="CF32" i="2"/>
  <c r="CD32" i="2"/>
  <c r="CC32" i="2"/>
  <c r="CB32" i="2"/>
  <c r="CA32" i="2"/>
  <c r="BY32" i="2"/>
  <c r="BX32" i="2"/>
  <c r="BW32" i="2"/>
  <c r="BV32" i="2"/>
  <c r="BT32" i="2"/>
  <c r="BS32" i="2"/>
  <c r="CM32" i="2" s="1"/>
  <c r="BR32" i="2"/>
  <c r="BQ32" i="2"/>
  <c r="CK32" i="2" s="1"/>
  <c r="BO32" i="2"/>
  <c r="CJ32" i="2" s="1"/>
  <c r="BJ32" i="2"/>
  <c r="CE32" i="2" s="1"/>
  <c r="BE32" i="2"/>
  <c r="BZ32" i="2" s="1"/>
  <c r="AZ32" i="2"/>
  <c r="BU32" i="2" s="1"/>
  <c r="CO32" i="2" s="1"/>
  <c r="AT32" i="2"/>
  <c r="AS32" i="2"/>
  <c r="AR32" i="2"/>
  <c r="AQ32" i="2"/>
  <c r="AO32" i="2"/>
  <c r="AN32" i="2"/>
  <c r="AM32" i="2"/>
  <c r="AL32" i="2"/>
  <c r="AK32" i="2"/>
  <c r="AU32" i="2" s="1"/>
  <c r="AF32" i="2"/>
  <c r="AP32" i="2" s="1"/>
  <c r="AA32" i="2"/>
  <c r="V32" i="2"/>
  <c r="Q32" i="2"/>
  <c r="L32" i="2"/>
  <c r="G32" i="2"/>
  <c r="CM31" i="2"/>
  <c r="CI31" i="2"/>
  <c r="CH31" i="2"/>
  <c r="CG31" i="2"/>
  <c r="CF31" i="2"/>
  <c r="CE31" i="2"/>
  <c r="CD31" i="2"/>
  <c r="CC31" i="2"/>
  <c r="CB31" i="2"/>
  <c r="CA31" i="2"/>
  <c r="BY31" i="2"/>
  <c r="BX31" i="2"/>
  <c r="BW31" i="2"/>
  <c r="BV31" i="2"/>
  <c r="BT31" i="2"/>
  <c r="CN31" i="2" s="1"/>
  <c r="BS31" i="2"/>
  <c r="BR31" i="2"/>
  <c r="CL31" i="2" s="1"/>
  <c r="BQ31" i="2"/>
  <c r="CK31" i="2" s="1"/>
  <c r="BO31" i="2"/>
  <c r="CJ31" i="2" s="1"/>
  <c r="BJ31" i="2"/>
  <c r="BE31" i="2"/>
  <c r="AZ31" i="2"/>
  <c r="BU31" i="2" s="1"/>
  <c r="AT31" i="2"/>
  <c r="AS31" i="2"/>
  <c r="AR31" i="2"/>
  <c r="AQ31" i="2"/>
  <c r="AP31" i="2"/>
  <c r="AO31" i="2"/>
  <c r="AN31" i="2"/>
  <c r="AM31" i="2"/>
  <c r="AL31" i="2"/>
  <c r="AK31" i="2"/>
  <c r="AU31" i="2" s="1"/>
  <c r="AF31" i="2"/>
  <c r="AA31" i="2"/>
  <c r="V31" i="2"/>
  <c r="Q31" i="2"/>
  <c r="BZ31" i="2" s="1"/>
  <c r="L31" i="2"/>
  <c r="G31" i="2"/>
  <c r="CK30" i="2"/>
  <c r="CI30" i="2"/>
  <c r="CH30" i="2"/>
  <c r="CG30" i="2"/>
  <c r="CF30" i="2"/>
  <c r="CD30" i="2"/>
  <c r="CC30" i="2"/>
  <c r="CB30" i="2"/>
  <c r="CA30" i="2"/>
  <c r="BY30" i="2"/>
  <c r="BX30" i="2"/>
  <c r="BW30" i="2"/>
  <c r="BV30" i="2"/>
  <c r="BT30" i="2"/>
  <c r="CN30" i="2" s="1"/>
  <c r="BS30" i="2"/>
  <c r="BR30" i="2"/>
  <c r="CL30" i="2" s="1"/>
  <c r="BQ30" i="2"/>
  <c r="BO30" i="2"/>
  <c r="CJ30" i="2" s="1"/>
  <c r="BJ30" i="2"/>
  <c r="CE30" i="2" s="1"/>
  <c r="BE30" i="2"/>
  <c r="BZ30" i="2" s="1"/>
  <c r="AZ30" i="2"/>
  <c r="BU30" i="2" s="1"/>
  <c r="AT30" i="2"/>
  <c r="AS30" i="2"/>
  <c r="AR30" i="2"/>
  <c r="AQ30" i="2"/>
  <c r="AO30" i="2"/>
  <c r="AN30" i="2"/>
  <c r="AM30" i="2"/>
  <c r="AL30" i="2"/>
  <c r="AK30" i="2"/>
  <c r="AU30" i="2" s="1"/>
  <c r="AF30" i="2"/>
  <c r="AP30" i="2" s="1"/>
  <c r="AA30" i="2"/>
  <c r="V30" i="2"/>
  <c r="Q30" i="2"/>
  <c r="L30" i="2"/>
  <c r="G30" i="2"/>
  <c r="CI29" i="2"/>
  <c r="CA29" i="2"/>
  <c r="BS29" i="2"/>
  <c r="BN29" i="2"/>
  <c r="BM29" i="2"/>
  <c r="CH29" i="2" s="1"/>
  <c r="BL29" i="2"/>
  <c r="CG29" i="2" s="1"/>
  <c r="BK29" i="2"/>
  <c r="CF29" i="2" s="1"/>
  <c r="BJ29" i="2"/>
  <c r="BI29" i="2"/>
  <c r="CD29" i="2" s="1"/>
  <c r="BH29" i="2"/>
  <c r="CC29" i="2" s="1"/>
  <c r="BG29" i="2"/>
  <c r="BF29" i="2"/>
  <c r="BD29" i="2"/>
  <c r="BY29" i="2" s="1"/>
  <c r="BC29" i="2"/>
  <c r="BX29" i="2" s="1"/>
  <c r="BB29" i="2"/>
  <c r="BA29" i="2"/>
  <c r="BV29" i="2" s="1"/>
  <c r="AY29" i="2"/>
  <c r="BT29" i="2" s="1"/>
  <c r="CN29" i="2" s="1"/>
  <c r="AX29" i="2"/>
  <c r="AW29" i="2"/>
  <c r="AV29" i="2"/>
  <c r="BQ29" i="2" s="1"/>
  <c r="AT29" i="2"/>
  <c r="AL29" i="2"/>
  <c r="AJ29" i="2"/>
  <c r="AI29" i="2"/>
  <c r="AS29" i="2" s="1"/>
  <c r="AH29" i="2"/>
  <c r="AG29" i="2"/>
  <c r="AK29" i="2" s="1"/>
  <c r="AE29" i="2"/>
  <c r="AO29" i="2" s="1"/>
  <c r="AD29" i="2"/>
  <c r="AN29" i="2" s="1"/>
  <c r="AC29" i="2"/>
  <c r="AB29" i="2"/>
  <c r="AF29" i="2" s="1"/>
  <c r="Z29" i="2"/>
  <c r="Y29" i="2"/>
  <c r="X29" i="2"/>
  <c r="W29" i="2"/>
  <c r="AA29" i="2" s="1"/>
  <c r="V29" i="2"/>
  <c r="U29" i="2"/>
  <c r="T29" i="2"/>
  <c r="S29" i="2"/>
  <c r="R29" i="2"/>
  <c r="P29" i="2"/>
  <c r="O29" i="2"/>
  <c r="N29" i="2"/>
  <c r="M29" i="2"/>
  <c r="K29" i="2"/>
  <c r="J29" i="2"/>
  <c r="I29" i="2"/>
  <c r="H29" i="2"/>
  <c r="L29" i="2" s="1"/>
  <c r="F29" i="2"/>
  <c r="G29" i="2" s="1"/>
  <c r="E29" i="2"/>
  <c r="CI28" i="2"/>
  <c r="CH28" i="2"/>
  <c r="CG28" i="2"/>
  <c r="CF28" i="2"/>
  <c r="CD28" i="2"/>
  <c r="CC28" i="2"/>
  <c r="CB28" i="2"/>
  <c r="CA28" i="2"/>
  <c r="BY28" i="2"/>
  <c r="BX28" i="2"/>
  <c r="BW28" i="2"/>
  <c r="BV28" i="2"/>
  <c r="BT28" i="2"/>
  <c r="CN28" i="2" s="1"/>
  <c r="BS28" i="2"/>
  <c r="CM28" i="2" s="1"/>
  <c r="BR28" i="2"/>
  <c r="CL28" i="2" s="1"/>
  <c r="BQ28" i="2"/>
  <c r="CK28" i="2" s="1"/>
  <c r="BO28" i="2"/>
  <c r="CJ28" i="2" s="1"/>
  <c r="BJ28" i="2"/>
  <c r="CE28" i="2" s="1"/>
  <c r="BE28" i="2"/>
  <c r="BZ28" i="2" s="1"/>
  <c r="AZ28" i="2"/>
  <c r="BU28" i="2" s="1"/>
  <c r="AT28" i="2"/>
  <c r="AS28" i="2"/>
  <c r="AR28" i="2"/>
  <c r="AQ28" i="2"/>
  <c r="AO28" i="2"/>
  <c r="AN28" i="2"/>
  <c r="AM28" i="2"/>
  <c r="AL28" i="2"/>
  <c r="AK28" i="2"/>
  <c r="AU28" i="2" s="1"/>
  <c r="AF28" i="2"/>
  <c r="AP28" i="2" s="1"/>
  <c r="AA28" i="2"/>
  <c r="V28" i="2"/>
  <c r="Q28" i="2"/>
  <c r="L28" i="2"/>
  <c r="G28" i="2"/>
  <c r="CI27" i="2"/>
  <c r="CH27" i="2"/>
  <c r="CG27" i="2"/>
  <c r="CF27" i="2"/>
  <c r="CD27" i="2"/>
  <c r="CC27" i="2"/>
  <c r="CB27" i="2"/>
  <c r="CA27" i="2"/>
  <c r="BY27" i="2"/>
  <c r="BX27" i="2"/>
  <c r="BW27" i="2"/>
  <c r="BV27" i="2"/>
  <c r="BT27" i="2"/>
  <c r="BS27" i="2"/>
  <c r="CM27" i="2" s="1"/>
  <c r="BR27" i="2"/>
  <c r="BQ27" i="2"/>
  <c r="CK27" i="2" s="1"/>
  <c r="BO27" i="2"/>
  <c r="CJ27" i="2" s="1"/>
  <c r="BJ27" i="2"/>
  <c r="CE27" i="2" s="1"/>
  <c r="CO27" i="2" s="1"/>
  <c r="BE27" i="2"/>
  <c r="BZ27" i="2" s="1"/>
  <c r="AZ27" i="2"/>
  <c r="BU27" i="2" s="1"/>
  <c r="AT27" i="2"/>
  <c r="AS27" i="2"/>
  <c r="AR27" i="2"/>
  <c r="AQ27" i="2"/>
  <c r="AO27" i="2"/>
  <c r="AN27" i="2"/>
  <c r="AM27" i="2"/>
  <c r="AL27" i="2"/>
  <c r="AK27" i="2"/>
  <c r="AU27" i="2" s="1"/>
  <c r="AF27" i="2"/>
  <c r="AP27" i="2" s="1"/>
  <c r="AA27" i="2"/>
  <c r="V27" i="2"/>
  <c r="Q27" i="2"/>
  <c r="L27" i="2"/>
  <c r="G27" i="2"/>
  <c r="CM26" i="2"/>
  <c r="CI26" i="2"/>
  <c r="CH26" i="2"/>
  <c r="CG26" i="2"/>
  <c r="CF26" i="2"/>
  <c r="CE26" i="2"/>
  <c r="CD26" i="2"/>
  <c r="CC26" i="2"/>
  <c r="CB26" i="2"/>
  <c r="CA26" i="2"/>
  <c r="BY26" i="2"/>
  <c r="BX26" i="2"/>
  <c r="BW26" i="2"/>
  <c r="BV26" i="2"/>
  <c r="BT26" i="2"/>
  <c r="CN26" i="2" s="1"/>
  <c r="BS26" i="2"/>
  <c r="BR26" i="2"/>
  <c r="BQ26" i="2"/>
  <c r="CK26" i="2" s="1"/>
  <c r="BO26" i="2"/>
  <c r="CJ26" i="2" s="1"/>
  <c r="BJ26" i="2"/>
  <c r="BE26" i="2"/>
  <c r="BZ26" i="2" s="1"/>
  <c r="AZ26" i="2"/>
  <c r="BU26" i="2" s="1"/>
  <c r="AT26" i="2"/>
  <c r="AS26" i="2"/>
  <c r="AR26" i="2"/>
  <c r="AQ26" i="2"/>
  <c r="AP26" i="2"/>
  <c r="AO26" i="2"/>
  <c r="AN26" i="2"/>
  <c r="AM26" i="2"/>
  <c r="AL26" i="2"/>
  <c r="AK26" i="2"/>
  <c r="AU26" i="2" s="1"/>
  <c r="AF26" i="2"/>
  <c r="AA26" i="2"/>
  <c r="V26" i="2"/>
  <c r="Q26" i="2"/>
  <c r="L26" i="2"/>
  <c r="G26" i="2"/>
  <c r="CK25" i="2"/>
  <c r="CI25" i="2"/>
  <c r="CH25" i="2"/>
  <c r="CG25" i="2"/>
  <c r="CF25" i="2"/>
  <c r="CD25" i="2"/>
  <c r="CC25" i="2"/>
  <c r="CB25" i="2"/>
  <c r="CA25" i="2"/>
  <c r="BY25" i="2"/>
  <c r="BX25" i="2"/>
  <c r="BW25" i="2"/>
  <c r="BV25" i="2"/>
  <c r="BT25" i="2"/>
  <c r="CN25" i="2" s="1"/>
  <c r="BS25" i="2"/>
  <c r="CM25" i="2" s="1"/>
  <c r="BR25" i="2"/>
  <c r="CL25" i="2" s="1"/>
  <c r="BQ25" i="2"/>
  <c r="BO25" i="2"/>
  <c r="CJ25" i="2" s="1"/>
  <c r="BJ25" i="2"/>
  <c r="CE25" i="2" s="1"/>
  <c r="BE25" i="2"/>
  <c r="BZ25" i="2" s="1"/>
  <c r="AZ25" i="2"/>
  <c r="BU25" i="2" s="1"/>
  <c r="AT25" i="2"/>
  <c r="AS25" i="2"/>
  <c r="AR25" i="2"/>
  <c r="AQ25" i="2"/>
  <c r="AO25" i="2"/>
  <c r="AN25" i="2"/>
  <c r="AM25" i="2"/>
  <c r="AL25" i="2"/>
  <c r="AK25" i="2"/>
  <c r="AU25" i="2" s="1"/>
  <c r="AF25" i="2"/>
  <c r="AP25" i="2" s="1"/>
  <c r="AA25" i="2"/>
  <c r="V25" i="2"/>
  <c r="Q25" i="2"/>
  <c r="L25" i="2"/>
  <c r="G25" i="2"/>
  <c r="CI24" i="2"/>
  <c r="CH24" i="2"/>
  <c r="CG24" i="2"/>
  <c r="CF24" i="2"/>
  <c r="CD24" i="2"/>
  <c r="CC24" i="2"/>
  <c r="CB24" i="2"/>
  <c r="CA24" i="2"/>
  <c r="BY24" i="2"/>
  <c r="BX24" i="2"/>
  <c r="BW24" i="2"/>
  <c r="BV24" i="2"/>
  <c r="BT24" i="2"/>
  <c r="CN24" i="2" s="1"/>
  <c r="BS24" i="2"/>
  <c r="CM24" i="2" s="1"/>
  <c r="BR24" i="2"/>
  <c r="CL24" i="2" s="1"/>
  <c r="BQ24" i="2"/>
  <c r="CK24" i="2" s="1"/>
  <c r="BO24" i="2"/>
  <c r="CJ24" i="2" s="1"/>
  <c r="BJ24" i="2"/>
  <c r="CE24" i="2" s="1"/>
  <c r="BE24" i="2"/>
  <c r="BZ24" i="2" s="1"/>
  <c r="CO24" i="2" s="1"/>
  <c r="AZ24" i="2"/>
  <c r="BU24" i="2" s="1"/>
  <c r="AT24" i="2"/>
  <c r="AS24" i="2"/>
  <c r="AR24" i="2"/>
  <c r="AQ24" i="2"/>
  <c r="AO24" i="2"/>
  <c r="AN24" i="2"/>
  <c r="AM24" i="2"/>
  <c r="AL24" i="2"/>
  <c r="AK24" i="2"/>
  <c r="AU24" i="2" s="1"/>
  <c r="AF24" i="2"/>
  <c r="AA24" i="2"/>
  <c r="V24" i="2"/>
  <c r="Q24" i="2"/>
  <c r="AP24" i="2" s="1"/>
  <c r="L24" i="2"/>
  <c r="G24" i="2"/>
  <c r="CI23" i="2"/>
  <c r="CH23" i="2"/>
  <c r="CG23" i="2"/>
  <c r="CF23" i="2"/>
  <c r="CD23" i="2"/>
  <c r="CC23" i="2"/>
  <c r="CB23" i="2"/>
  <c r="CA23" i="2"/>
  <c r="BY23" i="2"/>
  <c r="BX23" i="2"/>
  <c r="BW23" i="2"/>
  <c r="BV23" i="2"/>
  <c r="BT23" i="2"/>
  <c r="BS23" i="2"/>
  <c r="CM23" i="2" s="1"/>
  <c r="BR23" i="2"/>
  <c r="CL23" i="2" s="1"/>
  <c r="BQ23" i="2"/>
  <c r="CK23" i="2" s="1"/>
  <c r="BO23" i="2"/>
  <c r="CJ23" i="2" s="1"/>
  <c r="BJ23" i="2"/>
  <c r="CE23" i="2" s="1"/>
  <c r="BE23" i="2"/>
  <c r="BZ23" i="2" s="1"/>
  <c r="CO23" i="2" s="1"/>
  <c r="AZ23" i="2"/>
  <c r="BU23" i="2" s="1"/>
  <c r="AT23" i="2"/>
  <c r="AS23" i="2"/>
  <c r="AR23" i="2"/>
  <c r="AQ23" i="2"/>
  <c r="AO23" i="2"/>
  <c r="AN23" i="2"/>
  <c r="AM23" i="2"/>
  <c r="AL23" i="2"/>
  <c r="AK23" i="2"/>
  <c r="AU23" i="2" s="1"/>
  <c r="AF23" i="2"/>
  <c r="AP23" i="2" s="1"/>
  <c r="AA23" i="2"/>
  <c r="V23" i="2"/>
  <c r="Q23" i="2"/>
  <c r="L23" i="2"/>
  <c r="G23" i="2"/>
  <c r="CM22" i="2"/>
  <c r="CI22" i="2"/>
  <c r="CH22" i="2"/>
  <c r="CG22" i="2"/>
  <c r="CF22" i="2"/>
  <c r="CD22" i="2"/>
  <c r="CC22" i="2"/>
  <c r="CB22" i="2"/>
  <c r="CA22" i="2"/>
  <c r="BY22" i="2"/>
  <c r="BX22" i="2"/>
  <c r="BW22" i="2"/>
  <c r="BV22" i="2"/>
  <c r="BT22" i="2"/>
  <c r="CN22" i="2" s="1"/>
  <c r="BS22" i="2"/>
  <c r="BR22" i="2"/>
  <c r="CL22" i="2" s="1"/>
  <c r="BQ22" i="2"/>
  <c r="CK22" i="2" s="1"/>
  <c r="BO22" i="2"/>
  <c r="CJ22" i="2" s="1"/>
  <c r="BJ22" i="2"/>
  <c r="CE22" i="2" s="1"/>
  <c r="BE22" i="2"/>
  <c r="BZ22" i="2" s="1"/>
  <c r="AZ22" i="2"/>
  <c r="BU22" i="2" s="1"/>
  <c r="AT22" i="2"/>
  <c r="AS22" i="2"/>
  <c r="AR22" i="2"/>
  <c r="AQ22" i="2"/>
  <c r="AP22" i="2"/>
  <c r="AO22" i="2"/>
  <c r="AN22" i="2"/>
  <c r="AM22" i="2"/>
  <c r="AL22" i="2"/>
  <c r="AK22" i="2"/>
  <c r="AU22" i="2" s="1"/>
  <c r="AF22" i="2"/>
  <c r="AA22" i="2"/>
  <c r="V22" i="2"/>
  <c r="Q22" i="2"/>
  <c r="L22" i="2"/>
  <c r="G22" i="2"/>
  <c r="CC21" i="2"/>
  <c r="BN21" i="2"/>
  <c r="BM21" i="2"/>
  <c r="CH21" i="2" s="1"/>
  <c r="BL21" i="2"/>
  <c r="CG21" i="2" s="1"/>
  <c r="BK21" i="2"/>
  <c r="CF21" i="2" s="1"/>
  <c r="BI21" i="2"/>
  <c r="BH21" i="2"/>
  <c r="BG21" i="2"/>
  <c r="CB21" i="2" s="1"/>
  <c r="BF21" i="2"/>
  <c r="CA21" i="2" s="1"/>
  <c r="BD21" i="2"/>
  <c r="BC21" i="2"/>
  <c r="BX21" i="2" s="1"/>
  <c r="BB21" i="2"/>
  <c r="BW21" i="2" s="1"/>
  <c r="BA21" i="2"/>
  <c r="BV21" i="2" s="1"/>
  <c r="AY21" i="2"/>
  <c r="AX21" i="2"/>
  <c r="BS21" i="2" s="1"/>
  <c r="AW21" i="2"/>
  <c r="BR21" i="2" s="1"/>
  <c r="AV21" i="2"/>
  <c r="AN21" i="2"/>
  <c r="AJ21" i="2"/>
  <c r="AI21" i="2"/>
  <c r="AS21" i="2" s="1"/>
  <c r="AH21" i="2"/>
  <c r="AR21" i="2" s="1"/>
  <c r="AG21" i="2"/>
  <c r="AK21" i="2" s="1"/>
  <c r="AF21" i="2"/>
  <c r="AE21" i="2"/>
  <c r="AD21" i="2"/>
  <c r="AC21" i="2"/>
  <c r="AM21" i="2" s="1"/>
  <c r="AB21" i="2"/>
  <c r="AL21" i="2" s="1"/>
  <c r="Z21" i="2"/>
  <c r="Y21" i="2"/>
  <c r="X21" i="2"/>
  <c r="AA21" i="2" s="1"/>
  <c r="W21" i="2"/>
  <c r="U21" i="2"/>
  <c r="T21" i="2"/>
  <c r="S21" i="2"/>
  <c r="R21" i="2"/>
  <c r="V21" i="2" s="1"/>
  <c r="P21" i="2"/>
  <c r="O21" i="2"/>
  <c r="N21" i="2"/>
  <c r="M21" i="2"/>
  <c r="K21" i="2"/>
  <c r="J21" i="2"/>
  <c r="I21" i="2"/>
  <c r="H21" i="2"/>
  <c r="L21" i="2" s="1"/>
  <c r="F21" i="2"/>
  <c r="G21" i="2" s="1"/>
  <c r="E21" i="2"/>
  <c r="CK20" i="2"/>
  <c r="CI20" i="2"/>
  <c r="CH20" i="2"/>
  <c r="CG20" i="2"/>
  <c r="CF20" i="2"/>
  <c r="CD20" i="2"/>
  <c r="CC20" i="2"/>
  <c r="CB20" i="2"/>
  <c r="CA20" i="2"/>
  <c r="BY20" i="2"/>
  <c r="BX20" i="2"/>
  <c r="BW20" i="2"/>
  <c r="BV20" i="2"/>
  <c r="BT20" i="2"/>
  <c r="CN20" i="2" s="1"/>
  <c r="BS20" i="2"/>
  <c r="BR20" i="2"/>
  <c r="CL20" i="2" s="1"/>
  <c r="BQ20" i="2"/>
  <c r="BO20" i="2"/>
  <c r="CJ20" i="2" s="1"/>
  <c r="BJ20" i="2"/>
  <c r="CE20" i="2" s="1"/>
  <c r="BE20" i="2"/>
  <c r="BZ20" i="2" s="1"/>
  <c r="AZ20" i="2"/>
  <c r="BU20" i="2" s="1"/>
  <c r="AT20" i="2"/>
  <c r="AS20" i="2"/>
  <c r="AR20" i="2"/>
  <c r="AQ20" i="2"/>
  <c r="AO20" i="2"/>
  <c r="AN20" i="2"/>
  <c r="AM20" i="2"/>
  <c r="AL20" i="2"/>
  <c r="AK20" i="2"/>
  <c r="AU20" i="2" s="1"/>
  <c r="AF20" i="2"/>
  <c r="AP20" i="2" s="1"/>
  <c r="AA20" i="2"/>
  <c r="V20" i="2"/>
  <c r="Q20" i="2"/>
  <c r="L20" i="2"/>
  <c r="G20" i="2"/>
  <c r="CI19" i="2"/>
  <c r="CH19" i="2"/>
  <c r="CG19" i="2"/>
  <c r="CF19" i="2"/>
  <c r="CD19" i="2"/>
  <c r="CC19" i="2"/>
  <c r="CB19" i="2"/>
  <c r="CA19" i="2"/>
  <c r="BY19" i="2"/>
  <c r="BX19" i="2"/>
  <c r="BW19" i="2"/>
  <c r="BV19" i="2"/>
  <c r="BT19" i="2"/>
  <c r="BS19" i="2"/>
  <c r="CM19" i="2" s="1"/>
  <c r="BR19" i="2"/>
  <c r="CL19" i="2" s="1"/>
  <c r="BQ19" i="2"/>
  <c r="CK19" i="2" s="1"/>
  <c r="BO19" i="2"/>
  <c r="CJ19" i="2" s="1"/>
  <c r="BJ19" i="2"/>
  <c r="CE19" i="2" s="1"/>
  <c r="BE19" i="2"/>
  <c r="BZ19" i="2" s="1"/>
  <c r="AZ19" i="2"/>
  <c r="BU19" i="2" s="1"/>
  <c r="AT19" i="2"/>
  <c r="AS19" i="2"/>
  <c r="AR19" i="2"/>
  <c r="AQ19" i="2"/>
  <c r="AO19" i="2"/>
  <c r="AN19" i="2"/>
  <c r="AM19" i="2"/>
  <c r="AL19" i="2"/>
  <c r="AK19" i="2"/>
  <c r="AU19" i="2" s="1"/>
  <c r="AF19" i="2"/>
  <c r="AP19" i="2" s="1"/>
  <c r="AA19" i="2"/>
  <c r="V19" i="2"/>
  <c r="Q19" i="2"/>
  <c r="L19" i="2"/>
  <c r="G19" i="2"/>
  <c r="CI18" i="2"/>
  <c r="CH18" i="2"/>
  <c r="CG18" i="2"/>
  <c r="CF18" i="2"/>
  <c r="CD18" i="2"/>
  <c r="CC18" i="2"/>
  <c r="CB18" i="2"/>
  <c r="CA18" i="2"/>
  <c r="BY18" i="2"/>
  <c r="BX18" i="2"/>
  <c r="BW18" i="2"/>
  <c r="BV18" i="2"/>
  <c r="BT18" i="2"/>
  <c r="BS18" i="2"/>
  <c r="CM18" i="2" s="1"/>
  <c r="BR18" i="2"/>
  <c r="CL18" i="2" s="1"/>
  <c r="BQ18" i="2"/>
  <c r="CK18" i="2" s="1"/>
  <c r="BO18" i="2"/>
  <c r="CJ18" i="2" s="1"/>
  <c r="BJ18" i="2"/>
  <c r="CE18" i="2" s="1"/>
  <c r="BE18" i="2"/>
  <c r="BZ18" i="2" s="1"/>
  <c r="CO18" i="2" s="1"/>
  <c r="AZ18" i="2"/>
  <c r="BU18" i="2" s="1"/>
  <c r="AT18" i="2"/>
  <c r="AS18" i="2"/>
  <c r="AR18" i="2"/>
  <c r="AQ18" i="2"/>
  <c r="AO18" i="2"/>
  <c r="AN18" i="2"/>
  <c r="AM18" i="2"/>
  <c r="AL18" i="2"/>
  <c r="AK18" i="2"/>
  <c r="AU18" i="2" s="1"/>
  <c r="AF18" i="2"/>
  <c r="AP18" i="2" s="1"/>
  <c r="AA18" i="2"/>
  <c r="V18" i="2"/>
  <c r="Q18" i="2"/>
  <c r="L18" i="2"/>
  <c r="G18" i="2"/>
  <c r="BW17" i="2"/>
  <c r="BN17" i="2"/>
  <c r="CI17" i="2" s="1"/>
  <c r="BM17" i="2"/>
  <c r="CH17" i="2" s="1"/>
  <c r="BL17" i="2"/>
  <c r="CG17" i="2" s="1"/>
  <c r="BK17" i="2"/>
  <c r="CF17" i="2" s="1"/>
  <c r="BI17" i="2"/>
  <c r="CD17" i="2" s="1"/>
  <c r="BH17" i="2"/>
  <c r="CC17" i="2" s="1"/>
  <c r="BG17" i="2"/>
  <c r="CB17" i="2" s="1"/>
  <c r="BF17" i="2"/>
  <c r="BD17" i="2"/>
  <c r="BY17" i="2" s="1"/>
  <c r="BC17" i="2"/>
  <c r="BX17" i="2" s="1"/>
  <c r="BB17" i="2"/>
  <c r="BA17" i="2"/>
  <c r="BV17" i="2" s="1"/>
  <c r="AY17" i="2"/>
  <c r="BT17" i="2" s="1"/>
  <c r="AX17" i="2"/>
  <c r="AW17" i="2"/>
  <c r="BR17" i="2" s="1"/>
  <c r="AV17" i="2"/>
  <c r="BQ17" i="2" s="1"/>
  <c r="AJ17" i="2"/>
  <c r="AT17" i="2" s="1"/>
  <c r="AI17" i="2"/>
  <c r="AH17" i="2"/>
  <c r="AG17" i="2"/>
  <c r="AQ17" i="2" s="1"/>
  <c r="AE17" i="2"/>
  <c r="AO17" i="2" s="1"/>
  <c r="AD17" i="2"/>
  <c r="AN17" i="2" s="1"/>
  <c r="AC17" i="2"/>
  <c r="AM17" i="2" s="1"/>
  <c r="AB17" i="2"/>
  <c r="AF17" i="2" s="1"/>
  <c r="AP17" i="2" s="1"/>
  <c r="Z17" i="2"/>
  <c r="Y17" i="2"/>
  <c r="X17" i="2"/>
  <c r="W17" i="2"/>
  <c r="AA17" i="2" s="1"/>
  <c r="U17" i="2"/>
  <c r="T17" i="2"/>
  <c r="S17" i="2"/>
  <c r="R17" i="2"/>
  <c r="V17" i="2" s="1"/>
  <c r="P17" i="2"/>
  <c r="O17" i="2"/>
  <c r="AS17" i="2" s="1"/>
  <c r="N17" i="2"/>
  <c r="M17" i="2"/>
  <c r="Q17" i="2" s="1"/>
  <c r="K17" i="2"/>
  <c r="J17" i="2"/>
  <c r="L17" i="2" s="1"/>
  <c r="I17" i="2"/>
  <c r="H17" i="2"/>
  <c r="G17" i="2"/>
  <c r="F17" i="2"/>
  <c r="E17" i="2"/>
  <c r="CM16" i="2"/>
  <c r="CI16" i="2"/>
  <c r="CH16" i="2"/>
  <c r="CG16" i="2"/>
  <c r="CF16" i="2"/>
  <c r="CD16" i="2"/>
  <c r="CC16" i="2"/>
  <c r="CB16" i="2"/>
  <c r="CA16" i="2"/>
  <c r="BY16" i="2"/>
  <c r="BX16" i="2"/>
  <c r="BW16" i="2"/>
  <c r="BV16" i="2"/>
  <c r="BT16" i="2"/>
  <c r="CN16" i="2" s="1"/>
  <c r="BS16" i="2"/>
  <c r="BR16" i="2"/>
  <c r="CL16" i="2" s="1"/>
  <c r="BQ16" i="2"/>
  <c r="CK16" i="2" s="1"/>
  <c r="BO16" i="2"/>
  <c r="CJ16" i="2" s="1"/>
  <c r="BJ16" i="2"/>
  <c r="CE16" i="2" s="1"/>
  <c r="BE16" i="2"/>
  <c r="BZ16" i="2" s="1"/>
  <c r="AZ16" i="2"/>
  <c r="BU16" i="2" s="1"/>
  <c r="AT16" i="2"/>
  <c r="AS16" i="2"/>
  <c r="AR16" i="2"/>
  <c r="AQ16" i="2"/>
  <c r="AP16" i="2"/>
  <c r="AO16" i="2"/>
  <c r="AN16" i="2"/>
  <c r="AM16" i="2"/>
  <c r="AL16" i="2"/>
  <c r="AK16" i="2"/>
  <c r="AU16" i="2" s="1"/>
  <c r="AF16" i="2"/>
  <c r="AA16" i="2"/>
  <c r="V16" i="2"/>
  <c r="Q16" i="2"/>
  <c r="L16" i="2"/>
  <c r="G16" i="2"/>
  <c r="CK15" i="2"/>
  <c r="CI15" i="2"/>
  <c r="CH15" i="2"/>
  <c r="CG15" i="2"/>
  <c r="CF15" i="2"/>
  <c r="CD15" i="2"/>
  <c r="CC15" i="2"/>
  <c r="CB15" i="2"/>
  <c r="CA15" i="2"/>
  <c r="BY15" i="2"/>
  <c r="BX15" i="2"/>
  <c r="BW15" i="2"/>
  <c r="BV15" i="2"/>
  <c r="BT15" i="2"/>
  <c r="CN15" i="2" s="1"/>
  <c r="BS15" i="2"/>
  <c r="BR15" i="2"/>
  <c r="CL15" i="2" s="1"/>
  <c r="BQ15" i="2"/>
  <c r="BO15" i="2"/>
  <c r="CJ15" i="2" s="1"/>
  <c r="BJ15" i="2"/>
  <c r="CE15" i="2" s="1"/>
  <c r="BE15" i="2"/>
  <c r="BZ15" i="2" s="1"/>
  <c r="AZ15" i="2"/>
  <c r="BU15" i="2" s="1"/>
  <c r="AT15" i="2"/>
  <c r="AS15" i="2"/>
  <c r="AR15" i="2"/>
  <c r="AQ15" i="2"/>
  <c r="AO15" i="2"/>
  <c r="AN15" i="2"/>
  <c r="AM15" i="2"/>
  <c r="AL15" i="2"/>
  <c r="AK15" i="2"/>
  <c r="AU15" i="2" s="1"/>
  <c r="AF15" i="2"/>
  <c r="AP15" i="2" s="1"/>
  <c r="AA15" i="2"/>
  <c r="V15" i="2"/>
  <c r="Q15" i="2"/>
  <c r="L15" i="2"/>
  <c r="G15" i="2"/>
  <c r="CI14" i="2"/>
  <c r="CH14" i="2"/>
  <c r="CG14" i="2"/>
  <c r="CF14" i="2"/>
  <c r="CD14" i="2"/>
  <c r="CC14" i="2"/>
  <c r="CB14" i="2"/>
  <c r="CA14" i="2"/>
  <c r="BY14" i="2"/>
  <c r="BX14" i="2"/>
  <c r="BW14" i="2"/>
  <c r="BV14" i="2"/>
  <c r="BT14" i="2"/>
  <c r="BS14" i="2"/>
  <c r="CM14" i="2" s="1"/>
  <c r="BR14" i="2"/>
  <c r="CL14" i="2" s="1"/>
  <c r="BQ14" i="2"/>
  <c r="CK14" i="2" s="1"/>
  <c r="BO14" i="2"/>
  <c r="CJ14" i="2" s="1"/>
  <c r="BJ14" i="2"/>
  <c r="CE14" i="2" s="1"/>
  <c r="BE14" i="2"/>
  <c r="BZ14" i="2" s="1"/>
  <c r="AZ14" i="2"/>
  <c r="BU14" i="2" s="1"/>
  <c r="AT14" i="2"/>
  <c r="AS14" i="2"/>
  <c r="AR14" i="2"/>
  <c r="AQ14" i="2"/>
  <c r="AO14" i="2"/>
  <c r="AN14" i="2"/>
  <c r="AM14" i="2"/>
  <c r="AL14" i="2"/>
  <c r="AK14" i="2"/>
  <c r="AU14" i="2" s="1"/>
  <c r="AF14" i="2"/>
  <c r="AP14" i="2" s="1"/>
  <c r="AA14" i="2"/>
  <c r="V14" i="2"/>
  <c r="Q14" i="2"/>
  <c r="L14" i="2"/>
  <c r="G14" i="2"/>
  <c r="CI13" i="2"/>
  <c r="CH13" i="2"/>
  <c r="CG13" i="2"/>
  <c r="CF13" i="2"/>
  <c r="CD13" i="2"/>
  <c r="CC13" i="2"/>
  <c r="CB13" i="2"/>
  <c r="CA13" i="2"/>
  <c r="BY13" i="2"/>
  <c r="BX13" i="2"/>
  <c r="BW13" i="2"/>
  <c r="BV13" i="2"/>
  <c r="BT13" i="2"/>
  <c r="CN13" i="2" s="1"/>
  <c r="BS13" i="2"/>
  <c r="CM13" i="2" s="1"/>
  <c r="BR13" i="2"/>
  <c r="CL13" i="2" s="1"/>
  <c r="BQ13" i="2"/>
  <c r="CK13" i="2" s="1"/>
  <c r="BO13" i="2"/>
  <c r="CJ13" i="2" s="1"/>
  <c r="BJ13" i="2"/>
  <c r="CE13" i="2" s="1"/>
  <c r="CO13" i="2" s="1"/>
  <c r="BE13" i="2"/>
  <c r="BZ13" i="2" s="1"/>
  <c r="AZ13" i="2"/>
  <c r="BU13" i="2" s="1"/>
  <c r="AT13" i="2"/>
  <c r="AS13" i="2"/>
  <c r="AR13" i="2"/>
  <c r="AQ13" i="2"/>
  <c r="AO13" i="2"/>
  <c r="AN13" i="2"/>
  <c r="AM13" i="2"/>
  <c r="AL13" i="2"/>
  <c r="AK13" i="2"/>
  <c r="AF13" i="2"/>
  <c r="AP13" i="2" s="1"/>
  <c r="AA13" i="2"/>
  <c r="V13" i="2"/>
  <c r="Q13" i="2"/>
  <c r="AU13" i="2" s="1"/>
  <c r="L13" i="2"/>
  <c r="G13" i="2"/>
  <c r="CM12" i="2"/>
  <c r="CI12" i="2"/>
  <c r="CH12" i="2"/>
  <c r="CG12" i="2"/>
  <c r="CF12" i="2"/>
  <c r="CE12" i="2"/>
  <c r="CD12" i="2"/>
  <c r="CC12" i="2"/>
  <c r="CB12" i="2"/>
  <c r="CA12" i="2"/>
  <c r="BY12" i="2"/>
  <c r="BX12" i="2"/>
  <c r="BW12" i="2"/>
  <c r="BV12" i="2"/>
  <c r="BT12" i="2"/>
  <c r="CN12" i="2" s="1"/>
  <c r="BS12" i="2"/>
  <c r="BR12" i="2"/>
  <c r="BQ12" i="2"/>
  <c r="CK12" i="2" s="1"/>
  <c r="BO12" i="2"/>
  <c r="CJ12" i="2" s="1"/>
  <c r="BJ12" i="2"/>
  <c r="BE12" i="2"/>
  <c r="BZ12" i="2" s="1"/>
  <c r="AZ12" i="2"/>
  <c r="BU12" i="2" s="1"/>
  <c r="AT12" i="2"/>
  <c r="AS12" i="2"/>
  <c r="AR12" i="2"/>
  <c r="AQ12" i="2"/>
  <c r="AP12" i="2"/>
  <c r="AO12" i="2"/>
  <c r="AN12" i="2"/>
  <c r="AM12" i="2"/>
  <c r="AL12" i="2"/>
  <c r="AK12" i="2"/>
  <c r="AU12" i="2" s="1"/>
  <c r="AF12" i="2"/>
  <c r="AA12" i="2"/>
  <c r="V12" i="2"/>
  <c r="Q12" i="2"/>
  <c r="L12" i="2"/>
  <c r="G12" i="2"/>
  <c r="CK11" i="2"/>
  <c r="CI11" i="2"/>
  <c r="CH11" i="2"/>
  <c r="CG11" i="2"/>
  <c r="CF11" i="2"/>
  <c r="CD11" i="2"/>
  <c r="CC11" i="2"/>
  <c r="CB11" i="2"/>
  <c r="CA11" i="2"/>
  <c r="BY11" i="2"/>
  <c r="BX11" i="2"/>
  <c r="BW11" i="2"/>
  <c r="BV11" i="2"/>
  <c r="BT11" i="2"/>
  <c r="CN11" i="2" s="1"/>
  <c r="BS11" i="2"/>
  <c r="CM11" i="2" s="1"/>
  <c r="BR11" i="2"/>
  <c r="CL11" i="2" s="1"/>
  <c r="BQ11" i="2"/>
  <c r="BO11" i="2"/>
  <c r="CJ11" i="2" s="1"/>
  <c r="BJ11" i="2"/>
  <c r="CE11" i="2" s="1"/>
  <c r="BE11" i="2"/>
  <c r="BZ11" i="2" s="1"/>
  <c r="AZ11" i="2"/>
  <c r="BU11" i="2" s="1"/>
  <c r="AT11" i="2"/>
  <c r="AS11" i="2"/>
  <c r="AR11" i="2"/>
  <c r="AQ11" i="2"/>
  <c r="AO11" i="2"/>
  <c r="AN11" i="2"/>
  <c r="AM11" i="2"/>
  <c r="AL11" i="2"/>
  <c r="AK11" i="2"/>
  <c r="AU11" i="2" s="1"/>
  <c r="AF11" i="2"/>
  <c r="AP11" i="2" s="1"/>
  <c r="AA11" i="2"/>
  <c r="V11" i="2"/>
  <c r="Q11" i="2"/>
  <c r="L11" i="2"/>
  <c r="G11" i="2"/>
  <c r="CI10" i="2"/>
  <c r="CH10" i="2"/>
  <c r="CG10" i="2"/>
  <c r="CF10" i="2"/>
  <c r="CD10" i="2"/>
  <c r="CC10" i="2"/>
  <c r="CB10" i="2"/>
  <c r="CA10" i="2"/>
  <c r="BY10" i="2"/>
  <c r="BX10" i="2"/>
  <c r="BW10" i="2"/>
  <c r="BV10" i="2"/>
  <c r="BT10" i="2"/>
  <c r="CN10" i="2" s="1"/>
  <c r="BS10" i="2"/>
  <c r="BR10" i="2"/>
  <c r="CL10" i="2" s="1"/>
  <c r="BQ10" i="2"/>
  <c r="BO10" i="2"/>
  <c r="CJ10" i="2" s="1"/>
  <c r="BJ10" i="2"/>
  <c r="CE10" i="2" s="1"/>
  <c r="BE10" i="2"/>
  <c r="AZ10" i="2"/>
  <c r="BU10" i="2" s="1"/>
  <c r="AU10" i="2"/>
  <c r="AT10" i="2"/>
  <c r="AS10" i="2"/>
  <c r="AR10" i="2"/>
  <c r="AQ10" i="2"/>
  <c r="AO10" i="2"/>
  <c r="AN10" i="2"/>
  <c r="AM10" i="2"/>
  <c r="AL10" i="2"/>
  <c r="AK10" i="2"/>
  <c r="AF10" i="2"/>
  <c r="AP10" i="2" s="1"/>
  <c r="AA10" i="2"/>
  <c r="V10" i="2"/>
  <c r="Q10" i="2"/>
  <c r="BZ10" i="2" s="1"/>
  <c r="CO10" i="2" s="1"/>
  <c r="L10" i="2"/>
  <c r="G10" i="2"/>
  <c r="CI9" i="2"/>
  <c r="CA9" i="2"/>
  <c r="BS9" i="2"/>
  <c r="BN9" i="2"/>
  <c r="BM9" i="2"/>
  <c r="CH9" i="2" s="1"/>
  <c r="BL9" i="2"/>
  <c r="CG9" i="2" s="1"/>
  <c r="BK9" i="2"/>
  <c r="CF9" i="2" s="1"/>
  <c r="BJ9" i="2"/>
  <c r="BI9" i="2"/>
  <c r="CD9" i="2" s="1"/>
  <c r="BH9" i="2"/>
  <c r="CC9" i="2" s="1"/>
  <c r="BG9" i="2"/>
  <c r="CB9" i="2" s="1"/>
  <c r="BF9" i="2"/>
  <c r="BD9" i="2"/>
  <c r="BY9" i="2" s="1"/>
  <c r="BC9" i="2"/>
  <c r="BX9" i="2" s="1"/>
  <c r="BB9" i="2"/>
  <c r="BW9" i="2" s="1"/>
  <c r="BA9" i="2"/>
  <c r="BV9" i="2" s="1"/>
  <c r="AY9" i="2"/>
  <c r="BT9" i="2" s="1"/>
  <c r="AX9" i="2"/>
  <c r="AW9" i="2"/>
  <c r="BR9" i="2" s="1"/>
  <c r="AV9" i="2"/>
  <c r="BQ9" i="2" s="1"/>
  <c r="CK9" i="2" s="1"/>
  <c r="AT9" i="2"/>
  <c r="AS9" i="2"/>
  <c r="AO9" i="2"/>
  <c r="AL9" i="2"/>
  <c r="AJ9" i="2"/>
  <c r="AI9" i="2"/>
  <c r="AH9" i="2"/>
  <c r="AR9" i="2" s="1"/>
  <c r="AG9" i="2"/>
  <c r="AK9" i="2" s="1"/>
  <c r="AE9" i="2"/>
  <c r="AD9" i="2"/>
  <c r="AN9" i="2" s="1"/>
  <c r="AC9" i="2"/>
  <c r="AM9" i="2" s="1"/>
  <c r="AB9" i="2"/>
  <c r="AF9" i="2" s="1"/>
  <c r="Z9" i="2"/>
  <c r="Y9" i="2"/>
  <c r="X9" i="2"/>
  <c r="W9" i="2"/>
  <c r="AA9" i="2" s="1"/>
  <c r="V9" i="2"/>
  <c r="U9" i="2"/>
  <c r="T9" i="2"/>
  <c r="S9" i="2"/>
  <c r="R9" i="2"/>
  <c r="P9" i="2"/>
  <c r="O9" i="2"/>
  <c r="N9" i="2"/>
  <c r="M9" i="2"/>
  <c r="Q9" i="2" s="1"/>
  <c r="K9" i="2"/>
  <c r="J9" i="2"/>
  <c r="I9" i="2"/>
  <c r="H9" i="2"/>
  <c r="L9" i="2" s="1"/>
  <c r="F9" i="2"/>
  <c r="G9" i="2" s="1"/>
  <c r="E9" i="2"/>
  <c r="CI8" i="2"/>
  <c r="CH8" i="2"/>
  <c r="CD8" i="2"/>
  <c r="CA8" i="2"/>
  <c r="BT8" i="2"/>
  <c r="CN8" i="2" s="1"/>
  <c r="BS8" i="2"/>
  <c r="BO8" i="2"/>
  <c r="BJ8" i="2"/>
  <c r="BE8" i="2"/>
  <c r="AZ8" i="2"/>
  <c r="AT8" i="2"/>
  <c r="AS8" i="2"/>
  <c r="AO8" i="2"/>
  <c r="AL8" i="2"/>
  <c r="AK8" i="2"/>
  <c r="AF8" i="2"/>
  <c r="AA8" i="2"/>
  <c r="V8" i="2"/>
  <c r="P8" i="2"/>
  <c r="BY8" i="2" s="1"/>
  <c r="O8" i="2"/>
  <c r="BX8" i="2" s="1"/>
  <c r="N8" i="2"/>
  <c r="BR8" i="2" s="1"/>
  <c r="M8" i="2"/>
  <c r="BQ8" i="2" s="1"/>
  <c r="L8" i="2"/>
  <c r="G8" i="2"/>
  <c r="CG7" i="2"/>
  <c r="CF7" i="2"/>
  <c r="CC7" i="2"/>
  <c r="CB7" i="2"/>
  <c r="BQ7" i="2"/>
  <c r="BO7" i="2"/>
  <c r="BJ7" i="2"/>
  <c r="BE7" i="2"/>
  <c r="AZ7" i="2"/>
  <c r="AR7" i="2"/>
  <c r="AQ7" i="2"/>
  <c r="AN7" i="2"/>
  <c r="AM7" i="2"/>
  <c r="AK7" i="2"/>
  <c r="AF7" i="2"/>
  <c r="AA7" i="2"/>
  <c r="V7" i="2"/>
  <c r="P7" i="2"/>
  <c r="BT7" i="2" s="1"/>
  <c r="O7" i="2"/>
  <c r="BS7" i="2" s="1"/>
  <c r="N7" i="2"/>
  <c r="BR7" i="2" s="1"/>
  <c r="M7" i="2"/>
  <c r="CA7" i="2" s="1"/>
  <c r="L7" i="2"/>
  <c r="G7" i="2"/>
  <c r="CI6" i="2"/>
  <c r="CH6" i="2"/>
  <c r="CD6" i="2"/>
  <c r="BW6" i="2"/>
  <c r="BS6" i="2"/>
  <c r="BO6" i="2"/>
  <c r="BJ6" i="2"/>
  <c r="BE6" i="2"/>
  <c r="AZ6" i="2"/>
  <c r="AT6" i="2"/>
  <c r="AS6" i="2"/>
  <c r="AO6" i="2"/>
  <c r="AK6" i="2"/>
  <c r="AF6" i="2"/>
  <c r="AA6" i="2"/>
  <c r="V6" i="2"/>
  <c r="P6" i="2"/>
  <c r="BT6" i="2" s="1"/>
  <c r="O6" i="2"/>
  <c r="CC6" i="2" s="1"/>
  <c r="N6" i="2"/>
  <c r="CB6" i="2" s="1"/>
  <c r="M6" i="2"/>
  <c r="BV6" i="2" s="1"/>
  <c r="L6" i="2"/>
  <c r="G6" i="2"/>
  <c r="CG5" i="2"/>
  <c r="CF5" i="2"/>
  <c r="CB5" i="2"/>
  <c r="BY5" i="2"/>
  <c r="BQ5" i="2"/>
  <c r="BO5" i="2"/>
  <c r="BJ5" i="2"/>
  <c r="BE5" i="2"/>
  <c r="AZ5" i="2"/>
  <c r="AR5" i="2"/>
  <c r="AQ5" i="2"/>
  <c r="AM5" i="2"/>
  <c r="AK5" i="2"/>
  <c r="AF5" i="2"/>
  <c r="AA5" i="2"/>
  <c r="V5" i="2"/>
  <c r="P5" i="2"/>
  <c r="CD5" i="2" s="1"/>
  <c r="O5" i="2"/>
  <c r="BX5" i="2" s="1"/>
  <c r="N5" i="2"/>
  <c r="BW5" i="2" s="1"/>
  <c r="M5" i="2"/>
  <c r="BV5" i="2" s="1"/>
  <c r="L5" i="2"/>
  <c r="G5" i="2"/>
  <c r="CI4" i="2"/>
  <c r="CH4" i="2"/>
  <c r="CD4" i="2"/>
  <c r="CA4" i="2"/>
  <c r="BS4" i="2"/>
  <c r="BO4" i="2"/>
  <c r="BJ4" i="2"/>
  <c r="BE4" i="2"/>
  <c r="AZ4" i="2"/>
  <c r="AT4" i="2"/>
  <c r="AS4" i="2"/>
  <c r="AO4" i="2"/>
  <c r="AL4" i="2"/>
  <c r="AK4" i="2"/>
  <c r="AF4" i="2"/>
  <c r="AA4" i="2"/>
  <c r="V4" i="2"/>
  <c r="P4" i="2"/>
  <c r="BY4" i="2" s="1"/>
  <c r="O4" i="2"/>
  <c r="BX4" i="2" s="1"/>
  <c r="N4" i="2"/>
  <c r="BR4" i="2" s="1"/>
  <c r="M4" i="2"/>
  <c r="BQ4" i="2" s="1"/>
  <c r="L4" i="2"/>
  <c r="G4" i="2"/>
  <c r="CC3" i="2"/>
  <c r="BN3" i="2"/>
  <c r="CI3" i="2" s="1"/>
  <c r="BM3" i="2"/>
  <c r="CH3" i="2" s="1"/>
  <c r="BL3" i="2"/>
  <c r="BK3" i="2"/>
  <c r="CF3" i="2" s="1"/>
  <c r="BI3" i="2"/>
  <c r="CD3" i="2" s="1"/>
  <c r="BH3" i="2"/>
  <c r="BG3" i="2"/>
  <c r="BF3" i="2"/>
  <c r="CA3" i="2" s="1"/>
  <c r="BD3" i="2"/>
  <c r="BY3" i="2" s="1"/>
  <c r="BC3" i="2"/>
  <c r="BX3" i="2" s="1"/>
  <c r="BB3" i="2"/>
  <c r="BA3" i="2"/>
  <c r="BV3" i="2" s="1"/>
  <c r="AY3" i="2"/>
  <c r="BT3" i="2" s="1"/>
  <c r="CN3" i="2" s="1"/>
  <c r="AX3" i="2"/>
  <c r="BS3" i="2" s="1"/>
  <c r="CM3" i="2" s="1"/>
  <c r="AW3" i="2"/>
  <c r="BR3" i="2" s="1"/>
  <c r="AV3" i="2"/>
  <c r="BQ3" i="2" s="1"/>
  <c r="AN3" i="2"/>
  <c r="AJ3" i="2"/>
  <c r="AT3" i="2" s="1"/>
  <c r="AI3" i="2"/>
  <c r="AS3" i="2" s="1"/>
  <c r="AH3" i="2"/>
  <c r="AG3" i="2"/>
  <c r="AK3" i="2" s="1"/>
  <c r="AF3" i="2"/>
  <c r="AE3" i="2"/>
  <c r="AO3" i="2" s="1"/>
  <c r="AD3" i="2"/>
  <c r="AC3" i="2"/>
  <c r="AB3" i="2"/>
  <c r="AL3" i="2" s="1"/>
  <c r="Z3" i="2"/>
  <c r="Y3" i="2"/>
  <c r="X3" i="2"/>
  <c r="W3" i="2"/>
  <c r="AA3" i="2" s="1"/>
  <c r="U3" i="2"/>
  <c r="T3" i="2"/>
  <c r="S3" i="2"/>
  <c r="R3" i="2"/>
  <c r="V3" i="2" s="1"/>
  <c r="P3" i="2"/>
  <c r="O3" i="2"/>
  <c r="M3" i="2"/>
  <c r="AQ3" i="2" s="1"/>
  <c r="K3" i="2"/>
  <c r="J3" i="2"/>
  <c r="I3" i="2"/>
  <c r="H3" i="2"/>
  <c r="L3" i="2" s="1"/>
  <c r="G3" i="2"/>
  <c r="F3" i="2"/>
  <c r="E3" i="2"/>
  <c r="CI73" i="1"/>
  <c r="CH73" i="1"/>
  <c r="CG73" i="1"/>
  <c r="CF73" i="1"/>
  <c r="CD73" i="1"/>
  <c r="CC73" i="1"/>
  <c r="CB73" i="1"/>
  <c r="CA73" i="1"/>
  <c r="BY73" i="1"/>
  <c r="BX73" i="1"/>
  <c r="BW73" i="1"/>
  <c r="BV73" i="1"/>
  <c r="BT73" i="1"/>
  <c r="CN73" i="1" s="1"/>
  <c r="BS73" i="1"/>
  <c r="CM73" i="1" s="1"/>
  <c r="BR73" i="1"/>
  <c r="CL73" i="1" s="1"/>
  <c r="BQ73" i="1"/>
  <c r="CK73" i="1" s="1"/>
  <c r="BO73" i="1"/>
  <c r="BJ73" i="1"/>
  <c r="BE73" i="1"/>
  <c r="AZ73" i="1"/>
  <c r="AT73" i="1"/>
  <c r="AS73" i="1"/>
  <c r="AR73" i="1"/>
  <c r="AQ73" i="1"/>
  <c r="AO73" i="1"/>
  <c r="AN73" i="1"/>
  <c r="AM73" i="1"/>
  <c r="AL73" i="1"/>
  <c r="AK73" i="1"/>
  <c r="AU73" i="1" s="1"/>
  <c r="AF73" i="1"/>
  <c r="AP73" i="1" s="1"/>
  <c r="AA73" i="1"/>
  <c r="V73" i="1"/>
  <c r="Q73" i="1"/>
  <c r="L73" i="1"/>
  <c r="G73" i="1"/>
  <c r="CM72" i="1"/>
  <c r="CJ72" i="1"/>
  <c r="CI72" i="1"/>
  <c r="CH72" i="1"/>
  <c r="CG72" i="1"/>
  <c r="CF72" i="1"/>
  <c r="CD72" i="1"/>
  <c r="CC72" i="1"/>
  <c r="CB72" i="1"/>
  <c r="CA72" i="1"/>
  <c r="BZ72" i="1"/>
  <c r="BY72" i="1"/>
  <c r="BX72" i="1"/>
  <c r="BW72" i="1"/>
  <c r="BV72" i="1"/>
  <c r="BT72" i="1"/>
  <c r="CN72" i="1" s="1"/>
  <c r="BS72" i="1"/>
  <c r="BR72" i="1"/>
  <c r="CL72" i="1" s="1"/>
  <c r="BQ72" i="1"/>
  <c r="CK72" i="1" s="1"/>
  <c r="BO72" i="1"/>
  <c r="BJ72" i="1"/>
  <c r="CE72" i="1" s="1"/>
  <c r="BE72" i="1"/>
  <c r="AZ72" i="1"/>
  <c r="BU72" i="1" s="1"/>
  <c r="AU72" i="1"/>
  <c r="AT72" i="1"/>
  <c r="AS72" i="1"/>
  <c r="AR72" i="1"/>
  <c r="AQ72" i="1"/>
  <c r="AP72" i="1"/>
  <c r="AO72" i="1"/>
  <c r="AN72" i="1"/>
  <c r="AM72" i="1"/>
  <c r="AL72" i="1"/>
  <c r="AK72" i="1"/>
  <c r="AF72" i="1"/>
  <c r="AA72" i="1"/>
  <c r="V72" i="1"/>
  <c r="Q72" i="1"/>
  <c r="L72" i="1"/>
  <c r="G72" i="1"/>
  <c r="CK71" i="1"/>
  <c r="CI71" i="1"/>
  <c r="CH71" i="1"/>
  <c r="CG71" i="1"/>
  <c r="CF71" i="1"/>
  <c r="CD71" i="1"/>
  <c r="CC71" i="1"/>
  <c r="CB71" i="1"/>
  <c r="CA71" i="1"/>
  <c r="BZ71" i="1"/>
  <c r="BY71" i="1"/>
  <c r="CN71" i="1" s="1"/>
  <c r="BX71" i="1"/>
  <c r="BW71" i="1"/>
  <c r="BV71" i="1"/>
  <c r="BT71" i="1"/>
  <c r="BS71" i="1"/>
  <c r="CM71" i="1" s="1"/>
  <c r="BR71" i="1"/>
  <c r="CL71" i="1" s="1"/>
  <c r="BQ71" i="1"/>
  <c r="BO71" i="1"/>
  <c r="CJ71" i="1" s="1"/>
  <c r="BJ71" i="1"/>
  <c r="CE71" i="1" s="1"/>
  <c r="BE71" i="1"/>
  <c r="AZ71" i="1"/>
  <c r="BU71" i="1" s="1"/>
  <c r="AT71" i="1"/>
  <c r="AS71" i="1"/>
  <c r="AR71" i="1"/>
  <c r="AQ71" i="1"/>
  <c r="AO71" i="1"/>
  <c r="AN71" i="1"/>
  <c r="AM71" i="1"/>
  <c r="AL71" i="1"/>
  <c r="AK71" i="1"/>
  <c r="AU71" i="1" s="1"/>
  <c r="AF71" i="1"/>
  <c r="AP71" i="1" s="1"/>
  <c r="AA71" i="1"/>
  <c r="V71" i="1"/>
  <c r="Q71" i="1"/>
  <c r="L71" i="1"/>
  <c r="G71" i="1"/>
  <c r="CI70" i="1"/>
  <c r="CN70" i="1" s="1"/>
  <c r="CH70" i="1"/>
  <c r="CG70" i="1"/>
  <c r="CF70" i="1"/>
  <c r="CD70" i="1"/>
  <c r="CC70" i="1"/>
  <c r="CB70" i="1"/>
  <c r="CA70" i="1"/>
  <c r="BY70" i="1"/>
  <c r="BX70" i="1"/>
  <c r="BW70" i="1"/>
  <c r="CL70" i="1" s="1"/>
  <c r="BV70" i="1"/>
  <c r="BT70" i="1"/>
  <c r="BS70" i="1"/>
  <c r="BR70" i="1"/>
  <c r="BQ70" i="1"/>
  <c r="BO70" i="1"/>
  <c r="CJ70" i="1" s="1"/>
  <c r="BJ70" i="1"/>
  <c r="CE70" i="1" s="1"/>
  <c r="BE70" i="1"/>
  <c r="BZ70" i="1" s="1"/>
  <c r="CO70" i="1" s="1"/>
  <c r="AZ70" i="1"/>
  <c r="BU70" i="1" s="1"/>
  <c r="AT70" i="1"/>
  <c r="AS70" i="1"/>
  <c r="AR70" i="1"/>
  <c r="AQ70" i="1"/>
  <c r="AP70" i="1"/>
  <c r="AO70" i="1"/>
  <c r="AN70" i="1"/>
  <c r="AM70" i="1"/>
  <c r="AL70" i="1"/>
  <c r="AK70" i="1"/>
  <c r="AF70" i="1"/>
  <c r="AA70" i="1"/>
  <c r="V70" i="1"/>
  <c r="Q70" i="1"/>
  <c r="AU70" i="1" s="1"/>
  <c r="L70" i="1"/>
  <c r="G70" i="1"/>
  <c r="CG69" i="1"/>
  <c r="CB69" i="1"/>
  <c r="BY69" i="1"/>
  <c r="BV69" i="1"/>
  <c r="BN69" i="1"/>
  <c r="BM69" i="1"/>
  <c r="BL69" i="1"/>
  <c r="BK69" i="1"/>
  <c r="CF69" i="1" s="1"/>
  <c r="BI69" i="1"/>
  <c r="BH69" i="1"/>
  <c r="BG69" i="1"/>
  <c r="BF69" i="1"/>
  <c r="BE69" i="1"/>
  <c r="BD69" i="1"/>
  <c r="BC69" i="1"/>
  <c r="BX69" i="1" s="1"/>
  <c r="BB69" i="1"/>
  <c r="BW69" i="1" s="1"/>
  <c r="BA69" i="1"/>
  <c r="AZ69" i="1"/>
  <c r="AY69" i="1"/>
  <c r="AX69" i="1"/>
  <c r="AW69" i="1"/>
  <c r="AV69" i="1"/>
  <c r="BQ69" i="1" s="1"/>
  <c r="AR69" i="1"/>
  <c r="AN69" i="1"/>
  <c r="AJ69" i="1"/>
  <c r="AI69" i="1"/>
  <c r="AH69" i="1"/>
  <c r="AG69" i="1"/>
  <c r="AE69" i="1"/>
  <c r="AD69" i="1"/>
  <c r="AC69" i="1"/>
  <c r="AM69" i="1" s="1"/>
  <c r="AB69" i="1"/>
  <c r="Z69" i="1"/>
  <c r="Y69" i="1"/>
  <c r="X69" i="1"/>
  <c r="X74" i="1" s="1"/>
  <c r="W69" i="1"/>
  <c r="U69" i="1"/>
  <c r="T69" i="1"/>
  <c r="S69" i="1"/>
  <c r="R69" i="1"/>
  <c r="Q69" i="1"/>
  <c r="P69" i="1"/>
  <c r="O69" i="1"/>
  <c r="N69" i="1"/>
  <c r="M69" i="1"/>
  <c r="K69" i="1"/>
  <c r="J69" i="1"/>
  <c r="I69" i="1"/>
  <c r="H69" i="1"/>
  <c r="F69" i="1"/>
  <c r="E69" i="1"/>
  <c r="G69" i="1" s="1"/>
  <c r="CI68" i="1"/>
  <c r="CH68" i="1"/>
  <c r="CG68" i="1"/>
  <c r="CL68" i="1" s="1"/>
  <c r="CF68" i="1"/>
  <c r="CD68" i="1"/>
  <c r="CC68" i="1"/>
  <c r="CB68" i="1"/>
  <c r="CA68" i="1"/>
  <c r="BY68" i="1"/>
  <c r="BX68" i="1"/>
  <c r="BW68" i="1"/>
  <c r="BV68" i="1"/>
  <c r="BT68" i="1"/>
  <c r="BS68" i="1"/>
  <c r="CM68" i="1" s="1"/>
  <c r="BR68" i="1"/>
  <c r="BQ68" i="1"/>
  <c r="CK68" i="1" s="1"/>
  <c r="BO68" i="1"/>
  <c r="BJ68" i="1"/>
  <c r="BE68" i="1"/>
  <c r="BZ68" i="1" s="1"/>
  <c r="AZ68" i="1"/>
  <c r="BU68" i="1" s="1"/>
  <c r="AT68" i="1"/>
  <c r="AS68" i="1"/>
  <c r="AR68" i="1"/>
  <c r="AQ68" i="1"/>
  <c r="AO68" i="1"/>
  <c r="AN68" i="1"/>
  <c r="AM68" i="1"/>
  <c r="AL68" i="1"/>
  <c r="AK68" i="1"/>
  <c r="AF68" i="1"/>
  <c r="AA68" i="1"/>
  <c r="V68" i="1"/>
  <c r="Q68" i="1"/>
  <c r="CJ68" i="1" s="1"/>
  <c r="L68" i="1"/>
  <c r="G68" i="1"/>
  <c r="CM67" i="1"/>
  <c r="CJ67" i="1"/>
  <c r="CI67" i="1"/>
  <c r="CH67" i="1"/>
  <c r="CG67" i="1"/>
  <c r="CF67" i="1"/>
  <c r="CD67" i="1"/>
  <c r="CC67" i="1"/>
  <c r="CB67" i="1"/>
  <c r="CA67" i="1"/>
  <c r="BZ67" i="1"/>
  <c r="BY67" i="1"/>
  <c r="BX67" i="1"/>
  <c r="BW67" i="1"/>
  <c r="BV67" i="1"/>
  <c r="BT67" i="1"/>
  <c r="CN67" i="1" s="1"/>
  <c r="BS67" i="1"/>
  <c r="BR67" i="1"/>
  <c r="BQ67" i="1"/>
  <c r="CK67" i="1" s="1"/>
  <c r="BO67" i="1"/>
  <c r="BJ67" i="1"/>
  <c r="CE67" i="1" s="1"/>
  <c r="BE67" i="1"/>
  <c r="AZ67" i="1"/>
  <c r="BU67" i="1" s="1"/>
  <c r="AU67" i="1"/>
  <c r="AT67" i="1"/>
  <c r="AS67" i="1"/>
  <c r="AR67" i="1"/>
  <c r="AQ67" i="1"/>
  <c r="AP67" i="1"/>
  <c r="AO67" i="1"/>
  <c r="AN67" i="1"/>
  <c r="AM67" i="1"/>
  <c r="AL67" i="1"/>
  <c r="AK67" i="1"/>
  <c r="AF67" i="1"/>
  <c r="AA67" i="1"/>
  <c r="V67" i="1"/>
  <c r="Q67" i="1"/>
  <c r="L67" i="1"/>
  <c r="G67" i="1"/>
  <c r="CH66" i="1"/>
  <c r="CG66" i="1"/>
  <c r="CC66" i="1"/>
  <c r="BY66" i="1"/>
  <c r="BX66" i="1"/>
  <c r="BP66" i="1"/>
  <c r="BN66" i="1"/>
  <c r="CI66" i="1" s="1"/>
  <c r="BM66" i="1"/>
  <c r="BO66" i="1" s="1"/>
  <c r="BL66" i="1"/>
  <c r="BK66" i="1"/>
  <c r="BI66" i="1"/>
  <c r="CD66" i="1" s="1"/>
  <c r="BH66" i="1"/>
  <c r="BJ66" i="1" s="1"/>
  <c r="CE66" i="1" s="1"/>
  <c r="BG66" i="1"/>
  <c r="CB66" i="1" s="1"/>
  <c r="BF66" i="1"/>
  <c r="CA66" i="1" s="1"/>
  <c r="BE66" i="1"/>
  <c r="BD66" i="1"/>
  <c r="BC66" i="1"/>
  <c r="BB66" i="1"/>
  <c r="BA66" i="1"/>
  <c r="AZ66" i="1"/>
  <c r="BU66" i="1" s="1"/>
  <c r="AY66" i="1"/>
  <c r="BT66" i="1" s="1"/>
  <c r="AX66" i="1"/>
  <c r="BS66" i="1" s="1"/>
  <c r="AW66" i="1"/>
  <c r="BR66" i="1" s="1"/>
  <c r="AV66" i="1"/>
  <c r="AT66" i="1"/>
  <c r="AS66" i="1"/>
  <c r="AO66" i="1"/>
  <c r="AJ66" i="1"/>
  <c r="AI66" i="1"/>
  <c r="AH66" i="1"/>
  <c r="AE66" i="1"/>
  <c r="AD66" i="1"/>
  <c r="AN66" i="1" s="1"/>
  <c r="AC66" i="1"/>
  <c r="AM66" i="1" s="1"/>
  <c r="AB66" i="1"/>
  <c r="AF66" i="1" s="1"/>
  <c r="AP66" i="1" s="1"/>
  <c r="Z66" i="1"/>
  <c r="Y66" i="1"/>
  <c r="AA66" i="1" s="1"/>
  <c r="X66" i="1"/>
  <c r="W66" i="1"/>
  <c r="U66" i="1"/>
  <c r="T66" i="1"/>
  <c r="V66" i="1" s="1"/>
  <c r="S66" i="1"/>
  <c r="R66" i="1"/>
  <c r="Q66" i="1"/>
  <c r="P66" i="1"/>
  <c r="O66" i="1"/>
  <c r="N66" i="1"/>
  <c r="AR66" i="1" s="1"/>
  <c r="M66" i="1"/>
  <c r="CF66" i="1" s="1"/>
  <c r="K66" i="1"/>
  <c r="J66" i="1"/>
  <c r="I66" i="1"/>
  <c r="L66" i="1" s="1"/>
  <c r="H66" i="1"/>
  <c r="F66" i="1"/>
  <c r="E66" i="1"/>
  <c r="CI65" i="1"/>
  <c r="CH65" i="1"/>
  <c r="CG65" i="1"/>
  <c r="CF65" i="1"/>
  <c r="CD65" i="1"/>
  <c r="CC65" i="1"/>
  <c r="CB65" i="1"/>
  <c r="CA65" i="1"/>
  <c r="BZ65" i="1"/>
  <c r="BY65" i="1"/>
  <c r="BX65" i="1"/>
  <c r="BW65" i="1"/>
  <c r="BV65" i="1"/>
  <c r="BT65" i="1"/>
  <c r="BS65" i="1"/>
  <c r="CM65" i="1" s="1"/>
  <c r="BR65" i="1"/>
  <c r="BQ65" i="1"/>
  <c r="CK65" i="1" s="1"/>
  <c r="BO65" i="1"/>
  <c r="BJ65" i="1"/>
  <c r="CE65" i="1" s="1"/>
  <c r="BE65" i="1"/>
  <c r="AZ65" i="1"/>
  <c r="AT65" i="1"/>
  <c r="AS65" i="1"/>
  <c r="AR65" i="1"/>
  <c r="AQ65" i="1"/>
  <c r="AO65" i="1"/>
  <c r="AN65" i="1"/>
  <c r="AM65" i="1"/>
  <c r="AL65" i="1"/>
  <c r="AK65" i="1"/>
  <c r="AF65" i="1"/>
  <c r="AP65" i="1" s="1"/>
  <c r="AA65" i="1"/>
  <c r="V65" i="1"/>
  <c r="Q65" i="1"/>
  <c r="L65" i="1"/>
  <c r="G65" i="1"/>
  <c r="CJ64" i="1"/>
  <c r="CI64" i="1"/>
  <c r="CH64" i="1"/>
  <c r="CG64" i="1"/>
  <c r="CF64" i="1"/>
  <c r="CD64" i="1"/>
  <c r="CC64" i="1"/>
  <c r="CB64" i="1"/>
  <c r="CA64" i="1"/>
  <c r="BY64" i="1"/>
  <c r="BX64" i="1"/>
  <c r="CM64" i="1" s="1"/>
  <c r="BW64" i="1"/>
  <c r="BV64" i="1"/>
  <c r="BT64" i="1"/>
  <c r="CN64" i="1" s="1"/>
  <c r="BS64" i="1"/>
  <c r="BR64" i="1"/>
  <c r="BQ64" i="1"/>
  <c r="CK64" i="1" s="1"/>
  <c r="BO64" i="1"/>
  <c r="BJ64" i="1"/>
  <c r="CE64" i="1" s="1"/>
  <c r="BE64" i="1"/>
  <c r="BZ64" i="1" s="1"/>
  <c r="CO64" i="1" s="1"/>
  <c r="AZ64" i="1"/>
  <c r="BU64" i="1" s="1"/>
  <c r="AU64" i="1"/>
  <c r="AT64" i="1"/>
  <c r="AS64" i="1"/>
  <c r="AR64" i="1"/>
  <c r="AQ64" i="1"/>
  <c r="AP64" i="1"/>
  <c r="AO64" i="1"/>
  <c r="AN64" i="1"/>
  <c r="AM64" i="1"/>
  <c r="AL64" i="1"/>
  <c r="AK64" i="1"/>
  <c r="AF64" i="1"/>
  <c r="AA64" i="1"/>
  <c r="V64" i="1"/>
  <c r="Q64" i="1"/>
  <c r="L64" i="1"/>
  <c r="G64" i="1"/>
  <c r="CL63" i="1"/>
  <c r="CK63" i="1"/>
  <c r="CI63" i="1"/>
  <c r="CH63" i="1"/>
  <c r="CG63" i="1"/>
  <c r="CF63" i="1"/>
  <c r="CD63" i="1"/>
  <c r="CC63" i="1"/>
  <c r="CM63" i="1" s="1"/>
  <c r="CB63" i="1"/>
  <c r="CA63" i="1"/>
  <c r="BZ63" i="1"/>
  <c r="BY63" i="1"/>
  <c r="BX63" i="1"/>
  <c r="BW63" i="1"/>
  <c r="BV63" i="1"/>
  <c r="BT63" i="1"/>
  <c r="CN63" i="1" s="1"/>
  <c r="BS63" i="1"/>
  <c r="BR63" i="1"/>
  <c r="BQ63" i="1"/>
  <c r="BO63" i="1"/>
  <c r="BJ63" i="1"/>
  <c r="CE63" i="1" s="1"/>
  <c r="BE63" i="1"/>
  <c r="AZ63" i="1"/>
  <c r="BU63" i="1" s="1"/>
  <c r="AT63" i="1"/>
  <c r="AS63" i="1"/>
  <c r="AR63" i="1"/>
  <c r="AQ63" i="1"/>
  <c r="AO63" i="1"/>
  <c r="AN63" i="1"/>
  <c r="AM63" i="1"/>
  <c r="AL63" i="1"/>
  <c r="AK63" i="1"/>
  <c r="AU63" i="1" s="1"/>
  <c r="AF63" i="1"/>
  <c r="AA63" i="1"/>
  <c r="V63" i="1"/>
  <c r="Q63" i="1"/>
  <c r="AP63" i="1" s="1"/>
  <c r="L63" i="1"/>
  <c r="G63" i="1"/>
  <c r="CN62" i="1"/>
  <c r="CJ62" i="1"/>
  <c r="CI62" i="1"/>
  <c r="CH62" i="1"/>
  <c r="CG62" i="1"/>
  <c r="CF62" i="1"/>
  <c r="CD62" i="1"/>
  <c r="CC62" i="1"/>
  <c r="CB62" i="1"/>
  <c r="CA62" i="1"/>
  <c r="CK62" i="1" s="1"/>
  <c r="BY62" i="1"/>
  <c r="BX62" i="1"/>
  <c r="BW62" i="1"/>
  <c r="BV62" i="1"/>
  <c r="BT62" i="1"/>
  <c r="BS62" i="1"/>
  <c r="BR62" i="1"/>
  <c r="CL62" i="1" s="1"/>
  <c r="BQ62" i="1"/>
  <c r="BO62" i="1"/>
  <c r="BJ62" i="1"/>
  <c r="CE62" i="1" s="1"/>
  <c r="BE62" i="1"/>
  <c r="BZ62" i="1" s="1"/>
  <c r="AZ62" i="1"/>
  <c r="BU62" i="1" s="1"/>
  <c r="AU62" i="1"/>
  <c r="AT62" i="1"/>
  <c r="AS62" i="1"/>
  <c r="AR62" i="1"/>
  <c r="AQ62" i="1"/>
  <c r="AO62" i="1"/>
  <c r="AN62" i="1"/>
  <c r="AM62" i="1"/>
  <c r="AL62" i="1"/>
  <c r="AK62" i="1"/>
  <c r="AF62" i="1"/>
  <c r="AP62" i="1" s="1"/>
  <c r="AA62" i="1"/>
  <c r="V62" i="1"/>
  <c r="Q62" i="1"/>
  <c r="L62" i="1"/>
  <c r="G62" i="1"/>
  <c r="CI61" i="1"/>
  <c r="CH61" i="1"/>
  <c r="CG61" i="1"/>
  <c r="CF61" i="1"/>
  <c r="CD61" i="1"/>
  <c r="CC61" i="1"/>
  <c r="CB61" i="1"/>
  <c r="CA61" i="1"/>
  <c r="BZ61" i="1"/>
  <c r="BY61" i="1"/>
  <c r="BX61" i="1"/>
  <c r="BW61" i="1"/>
  <c r="BV61" i="1"/>
  <c r="BT61" i="1"/>
  <c r="BS61" i="1"/>
  <c r="CM61" i="1" s="1"/>
  <c r="BR61" i="1"/>
  <c r="CL61" i="1" s="1"/>
  <c r="BQ61" i="1"/>
  <c r="CK61" i="1" s="1"/>
  <c r="BO61" i="1"/>
  <c r="BJ61" i="1"/>
  <c r="BE61" i="1"/>
  <c r="AZ61" i="1"/>
  <c r="BU61" i="1" s="1"/>
  <c r="AT61" i="1"/>
  <c r="AS61" i="1"/>
  <c r="AR61" i="1"/>
  <c r="AQ61" i="1"/>
  <c r="AO61" i="1"/>
  <c r="AN61" i="1"/>
  <c r="AM61" i="1"/>
  <c r="AL61" i="1"/>
  <c r="AK61" i="1"/>
  <c r="AU61" i="1" s="1"/>
  <c r="AF61" i="1"/>
  <c r="AP61" i="1" s="1"/>
  <c r="AA61" i="1"/>
  <c r="V61" i="1"/>
  <c r="Q61" i="1"/>
  <c r="L61" i="1"/>
  <c r="G61" i="1"/>
  <c r="CG60" i="1"/>
  <c r="BY60" i="1"/>
  <c r="BX60" i="1"/>
  <c r="BW60" i="1"/>
  <c r="BQ60" i="1"/>
  <c r="BN60" i="1"/>
  <c r="CI60" i="1" s="1"/>
  <c r="BM60" i="1"/>
  <c r="CH60" i="1" s="1"/>
  <c r="BL60" i="1"/>
  <c r="BK60" i="1"/>
  <c r="BI60" i="1"/>
  <c r="CD60" i="1" s="1"/>
  <c r="BH60" i="1"/>
  <c r="CC60" i="1" s="1"/>
  <c r="BG60" i="1"/>
  <c r="CB60" i="1" s="1"/>
  <c r="BF60" i="1"/>
  <c r="BD60" i="1"/>
  <c r="BC60" i="1"/>
  <c r="BB60" i="1"/>
  <c r="BE60" i="1" s="1"/>
  <c r="BA60" i="1"/>
  <c r="BV60" i="1" s="1"/>
  <c r="AY60" i="1"/>
  <c r="BT60" i="1" s="1"/>
  <c r="CN60" i="1" s="1"/>
  <c r="AX60" i="1"/>
  <c r="AW60" i="1"/>
  <c r="BR60" i="1" s="1"/>
  <c r="AV60" i="1"/>
  <c r="AR60" i="1"/>
  <c r="AQ60" i="1"/>
  <c r="AM60" i="1"/>
  <c r="AJ60" i="1"/>
  <c r="AT60" i="1" s="1"/>
  <c r="AI60" i="1"/>
  <c r="AS60" i="1" s="1"/>
  <c r="AH60" i="1"/>
  <c r="AG60" i="1"/>
  <c r="AE60" i="1"/>
  <c r="AO60" i="1" s="1"/>
  <c r="AD60" i="1"/>
  <c r="AC60" i="1"/>
  <c r="AB60" i="1"/>
  <c r="AA60" i="1"/>
  <c r="Z60" i="1"/>
  <c r="Y60" i="1"/>
  <c r="X60" i="1"/>
  <c r="W60" i="1"/>
  <c r="U60" i="1"/>
  <c r="T60" i="1"/>
  <c r="S60" i="1"/>
  <c r="R60" i="1"/>
  <c r="V60" i="1" s="1"/>
  <c r="P60" i="1"/>
  <c r="O60" i="1"/>
  <c r="N60" i="1"/>
  <c r="M60" i="1"/>
  <c r="K60" i="1"/>
  <c r="L60" i="1" s="1"/>
  <c r="J60" i="1"/>
  <c r="I60" i="1"/>
  <c r="H60" i="1"/>
  <c r="G60" i="1"/>
  <c r="F60" i="1"/>
  <c r="E60" i="1"/>
  <c r="CM59" i="1"/>
  <c r="CJ59" i="1"/>
  <c r="CI59" i="1"/>
  <c r="CH59" i="1"/>
  <c r="CG59" i="1"/>
  <c r="CF59" i="1"/>
  <c r="CE59" i="1"/>
  <c r="CO59" i="1" s="1"/>
  <c r="CD59" i="1"/>
  <c r="CC59" i="1"/>
  <c r="CB59" i="1"/>
  <c r="CA59" i="1"/>
  <c r="BY59" i="1"/>
  <c r="BX59" i="1"/>
  <c r="BW59" i="1"/>
  <c r="BV59" i="1"/>
  <c r="BT59" i="1"/>
  <c r="CN59" i="1" s="1"/>
  <c r="BS59" i="1"/>
  <c r="BR59" i="1"/>
  <c r="BQ59" i="1"/>
  <c r="BO59" i="1"/>
  <c r="BJ59" i="1"/>
  <c r="BE59" i="1"/>
  <c r="BZ59" i="1" s="1"/>
  <c r="AZ59" i="1"/>
  <c r="BU59" i="1" s="1"/>
  <c r="AU59" i="1"/>
  <c r="AT59" i="1"/>
  <c r="AS59" i="1"/>
  <c r="AR59" i="1"/>
  <c r="AQ59" i="1"/>
  <c r="AO59" i="1"/>
  <c r="AN59" i="1"/>
  <c r="AM59" i="1"/>
  <c r="AL59" i="1"/>
  <c r="AK59" i="1"/>
  <c r="AF59" i="1"/>
  <c r="AP59" i="1" s="1"/>
  <c r="AA59" i="1"/>
  <c r="V59" i="1"/>
  <c r="Q59" i="1"/>
  <c r="L59" i="1"/>
  <c r="G59" i="1"/>
  <c r="CL58" i="1"/>
  <c r="CK58" i="1"/>
  <c r="CI58" i="1"/>
  <c r="CH58" i="1"/>
  <c r="CG58" i="1"/>
  <c r="CF58" i="1"/>
  <c r="CD58" i="1"/>
  <c r="CC58" i="1"/>
  <c r="CM58" i="1" s="1"/>
  <c r="CB58" i="1"/>
  <c r="CA58" i="1"/>
  <c r="BY58" i="1"/>
  <c r="BX58" i="1"/>
  <c r="BW58" i="1"/>
  <c r="BV58" i="1"/>
  <c r="BT58" i="1"/>
  <c r="CN58" i="1" s="1"/>
  <c r="BS58" i="1"/>
  <c r="BR58" i="1"/>
  <c r="BQ58" i="1"/>
  <c r="BO58" i="1"/>
  <c r="CJ58" i="1" s="1"/>
  <c r="BJ58" i="1"/>
  <c r="CE58" i="1" s="1"/>
  <c r="BE58" i="1"/>
  <c r="AZ58" i="1"/>
  <c r="BU58" i="1" s="1"/>
  <c r="AT58" i="1"/>
  <c r="AS58" i="1"/>
  <c r="AR58" i="1"/>
  <c r="AQ58" i="1"/>
  <c r="AP58" i="1"/>
  <c r="AO58" i="1"/>
  <c r="AN58" i="1"/>
  <c r="AM58" i="1"/>
  <c r="AL58" i="1"/>
  <c r="AK58" i="1"/>
  <c r="AF58" i="1"/>
  <c r="AA58" i="1"/>
  <c r="V58" i="1"/>
  <c r="Q58" i="1"/>
  <c r="L58" i="1"/>
  <c r="G58" i="1"/>
  <c r="CI57" i="1"/>
  <c r="CH57" i="1"/>
  <c r="CG57" i="1"/>
  <c r="CF57" i="1"/>
  <c r="CD57" i="1"/>
  <c r="CC57" i="1"/>
  <c r="CB57" i="1"/>
  <c r="CA57" i="1"/>
  <c r="CK57" i="1" s="1"/>
  <c r="BY57" i="1"/>
  <c r="BX57" i="1"/>
  <c r="BW57" i="1"/>
  <c r="BV57" i="1"/>
  <c r="BT57" i="1"/>
  <c r="CN57" i="1" s="1"/>
  <c r="BS57" i="1"/>
  <c r="BR57" i="1"/>
  <c r="CL57" i="1" s="1"/>
  <c r="BQ57" i="1"/>
  <c r="BO57" i="1"/>
  <c r="CJ57" i="1" s="1"/>
  <c r="BJ57" i="1"/>
  <c r="CE57" i="1" s="1"/>
  <c r="BE57" i="1"/>
  <c r="BZ57" i="1" s="1"/>
  <c r="AZ57" i="1"/>
  <c r="BU57" i="1" s="1"/>
  <c r="AU57" i="1"/>
  <c r="AT57" i="1"/>
  <c r="AS57" i="1"/>
  <c r="AR57" i="1"/>
  <c r="AQ57" i="1"/>
  <c r="AO57" i="1"/>
  <c r="AN57" i="1"/>
  <c r="AM57" i="1"/>
  <c r="AL57" i="1"/>
  <c r="AK57" i="1"/>
  <c r="AF57" i="1"/>
  <c r="AP57" i="1" s="1"/>
  <c r="AA57" i="1"/>
  <c r="V57" i="1"/>
  <c r="Q57" i="1"/>
  <c r="L57" i="1"/>
  <c r="G57" i="1"/>
  <c r="CI56" i="1"/>
  <c r="CH56" i="1"/>
  <c r="CG56" i="1"/>
  <c r="CD56" i="1"/>
  <c r="BZ56" i="1"/>
  <c r="BY56" i="1"/>
  <c r="BS56" i="1"/>
  <c r="BR56" i="1"/>
  <c r="BQ56" i="1"/>
  <c r="BN56" i="1"/>
  <c r="BM56" i="1"/>
  <c r="BL56" i="1"/>
  <c r="BK56" i="1"/>
  <c r="BI56" i="1"/>
  <c r="BH56" i="1"/>
  <c r="CC56" i="1" s="1"/>
  <c r="BG56" i="1"/>
  <c r="CB56" i="1" s="1"/>
  <c r="BF56" i="1"/>
  <c r="BE56" i="1"/>
  <c r="BD56" i="1"/>
  <c r="BC56" i="1"/>
  <c r="BX56" i="1" s="1"/>
  <c r="BB56" i="1"/>
  <c r="BA56" i="1"/>
  <c r="BV56" i="1" s="1"/>
  <c r="AZ56" i="1"/>
  <c r="AY56" i="1"/>
  <c r="BT56" i="1" s="1"/>
  <c r="CN56" i="1" s="1"/>
  <c r="AX56" i="1"/>
  <c r="AW56" i="1"/>
  <c r="AV56" i="1"/>
  <c r="AT56" i="1"/>
  <c r="AS56" i="1"/>
  <c r="AO56" i="1"/>
  <c r="AL56" i="1"/>
  <c r="AK56" i="1"/>
  <c r="AU56" i="1" s="1"/>
  <c r="AJ56" i="1"/>
  <c r="AI56" i="1"/>
  <c r="AH56" i="1"/>
  <c r="AG56" i="1"/>
  <c r="AE56" i="1"/>
  <c r="AD56" i="1"/>
  <c r="AN56" i="1" s="1"/>
  <c r="AC56" i="1"/>
  <c r="AM56" i="1" s="1"/>
  <c r="AB56" i="1"/>
  <c r="Z56" i="1"/>
  <c r="Y56" i="1"/>
  <c r="AA56" i="1" s="1"/>
  <c r="X56" i="1"/>
  <c r="W56" i="1"/>
  <c r="U56" i="1"/>
  <c r="T56" i="1"/>
  <c r="V56" i="1" s="1"/>
  <c r="S56" i="1"/>
  <c r="R56" i="1"/>
  <c r="Q56" i="1"/>
  <c r="P56" i="1"/>
  <c r="O56" i="1"/>
  <c r="N56" i="1"/>
  <c r="AR56" i="1" s="1"/>
  <c r="M56" i="1"/>
  <c r="CA56" i="1" s="1"/>
  <c r="L56" i="1"/>
  <c r="K56" i="1"/>
  <c r="J56" i="1"/>
  <c r="I56" i="1"/>
  <c r="H56" i="1"/>
  <c r="F56" i="1"/>
  <c r="E56" i="1"/>
  <c r="CI55" i="1"/>
  <c r="CH55" i="1"/>
  <c r="CG55" i="1"/>
  <c r="CF55" i="1"/>
  <c r="CD55" i="1"/>
  <c r="CC55" i="1"/>
  <c r="CB55" i="1"/>
  <c r="CA55" i="1"/>
  <c r="BZ55" i="1"/>
  <c r="BY55" i="1"/>
  <c r="BX55" i="1"/>
  <c r="BW55" i="1"/>
  <c r="BV55" i="1"/>
  <c r="BT55" i="1"/>
  <c r="BS55" i="1"/>
  <c r="CM55" i="1" s="1"/>
  <c r="BR55" i="1"/>
  <c r="BQ55" i="1"/>
  <c r="CK55" i="1" s="1"/>
  <c r="BO55" i="1"/>
  <c r="BJ55" i="1"/>
  <c r="CE55" i="1" s="1"/>
  <c r="BE55" i="1"/>
  <c r="AZ55" i="1"/>
  <c r="AT55" i="1"/>
  <c r="AS55" i="1"/>
  <c r="AR55" i="1"/>
  <c r="AQ55" i="1"/>
  <c r="AO55" i="1"/>
  <c r="AN55" i="1"/>
  <c r="AM55" i="1"/>
  <c r="AL55" i="1"/>
  <c r="AK55" i="1"/>
  <c r="AF55" i="1"/>
  <c r="AP55" i="1" s="1"/>
  <c r="AA55" i="1"/>
  <c r="V55" i="1"/>
  <c r="Q55" i="1"/>
  <c r="L55" i="1"/>
  <c r="G55" i="1"/>
  <c r="CJ54" i="1"/>
  <c r="CI54" i="1"/>
  <c r="CH54" i="1"/>
  <c r="CG54" i="1"/>
  <c r="CF54" i="1"/>
  <c r="CD54" i="1"/>
  <c r="CC54" i="1"/>
  <c r="CB54" i="1"/>
  <c r="CA54" i="1"/>
  <c r="BY54" i="1"/>
  <c r="BX54" i="1"/>
  <c r="CM54" i="1" s="1"/>
  <c r="BW54" i="1"/>
  <c r="BV54" i="1"/>
  <c r="BT54" i="1"/>
  <c r="CN54" i="1" s="1"/>
  <c r="BS54" i="1"/>
  <c r="BR54" i="1"/>
  <c r="BQ54" i="1"/>
  <c r="CK54" i="1" s="1"/>
  <c r="BO54" i="1"/>
  <c r="BJ54" i="1"/>
  <c r="CE54" i="1" s="1"/>
  <c r="BE54" i="1"/>
  <c r="BZ54" i="1" s="1"/>
  <c r="AZ54" i="1"/>
  <c r="BU54" i="1" s="1"/>
  <c r="AU54" i="1"/>
  <c r="AT54" i="1"/>
  <c r="AS54" i="1"/>
  <c r="AR54" i="1"/>
  <c r="AQ54" i="1"/>
  <c r="AP54" i="1"/>
  <c r="AO54" i="1"/>
  <c r="AN54" i="1"/>
  <c r="AM54" i="1"/>
  <c r="AL54" i="1"/>
  <c r="AK54" i="1"/>
  <c r="AF54" i="1"/>
  <c r="AA54" i="1"/>
  <c r="V54" i="1"/>
  <c r="Q54" i="1"/>
  <c r="L54" i="1"/>
  <c r="G54" i="1"/>
  <c r="CL53" i="1"/>
  <c r="CK53" i="1"/>
  <c r="CI53" i="1"/>
  <c r="CH53" i="1"/>
  <c r="CG53" i="1"/>
  <c r="CF53" i="1"/>
  <c r="CD53" i="1"/>
  <c r="CC53" i="1"/>
  <c r="CM53" i="1" s="1"/>
  <c r="CB53" i="1"/>
  <c r="CA53" i="1"/>
  <c r="BZ53" i="1"/>
  <c r="BY53" i="1"/>
  <c r="BX53" i="1"/>
  <c r="BW53" i="1"/>
  <c r="BV53" i="1"/>
  <c r="BT53" i="1"/>
  <c r="CN53" i="1" s="1"/>
  <c r="BS53" i="1"/>
  <c r="BR53" i="1"/>
  <c r="BQ53" i="1"/>
  <c r="BO53" i="1"/>
  <c r="BJ53" i="1"/>
  <c r="CE53" i="1" s="1"/>
  <c r="BE53" i="1"/>
  <c r="AZ53" i="1"/>
  <c r="BU53" i="1" s="1"/>
  <c r="AT53" i="1"/>
  <c r="AS53" i="1"/>
  <c r="AR53" i="1"/>
  <c r="AQ53" i="1"/>
  <c r="AO53" i="1"/>
  <c r="AN53" i="1"/>
  <c r="AM53" i="1"/>
  <c r="AL53" i="1"/>
  <c r="AK53" i="1"/>
  <c r="AU53" i="1" s="1"/>
  <c r="AF53" i="1"/>
  <c r="AA53" i="1"/>
  <c r="V53" i="1"/>
  <c r="Q53" i="1"/>
  <c r="AP53" i="1" s="1"/>
  <c r="L53" i="1"/>
  <c r="G53" i="1"/>
  <c r="CB52" i="1"/>
  <c r="CA52" i="1"/>
  <c r="BN52" i="1"/>
  <c r="BM52" i="1"/>
  <c r="BL52" i="1"/>
  <c r="CG52" i="1" s="1"/>
  <c r="BK52" i="1"/>
  <c r="BJ52" i="1"/>
  <c r="BI52" i="1"/>
  <c r="BH52" i="1"/>
  <c r="BG52" i="1"/>
  <c r="BF52" i="1"/>
  <c r="BD52" i="1"/>
  <c r="BC52" i="1"/>
  <c r="BX52" i="1" s="1"/>
  <c r="BB52" i="1"/>
  <c r="BW52" i="1" s="1"/>
  <c r="BA52" i="1"/>
  <c r="BV52" i="1" s="1"/>
  <c r="AY52" i="1"/>
  <c r="AX52" i="1"/>
  <c r="AW52" i="1"/>
  <c r="AV52" i="1"/>
  <c r="AT52" i="1"/>
  <c r="AQ52" i="1"/>
  <c r="AM52" i="1"/>
  <c r="AL52" i="1"/>
  <c r="AJ52" i="1"/>
  <c r="AI52" i="1"/>
  <c r="AH52" i="1"/>
  <c r="AG52" i="1"/>
  <c r="AK52" i="1" s="1"/>
  <c r="AE52" i="1"/>
  <c r="AD52" i="1"/>
  <c r="AC52" i="1"/>
  <c r="AB52" i="1"/>
  <c r="Z52" i="1"/>
  <c r="Y52" i="1"/>
  <c r="X52" i="1"/>
  <c r="W52" i="1"/>
  <c r="AA52" i="1" s="1"/>
  <c r="V52" i="1"/>
  <c r="U52" i="1"/>
  <c r="T52" i="1"/>
  <c r="S52" i="1"/>
  <c r="R52" i="1"/>
  <c r="P52" i="1"/>
  <c r="CI52" i="1" s="1"/>
  <c r="O52" i="1"/>
  <c r="N52" i="1"/>
  <c r="AR52" i="1" s="1"/>
  <c r="M52" i="1"/>
  <c r="Q52" i="1" s="1"/>
  <c r="K52" i="1"/>
  <c r="J52" i="1"/>
  <c r="I52" i="1"/>
  <c r="H52" i="1"/>
  <c r="L52" i="1" s="1"/>
  <c r="G52" i="1"/>
  <c r="F52" i="1"/>
  <c r="E52" i="1"/>
  <c r="CN51" i="1"/>
  <c r="CI51" i="1"/>
  <c r="CH51" i="1"/>
  <c r="CG51" i="1"/>
  <c r="CF51" i="1"/>
  <c r="CK51" i="1" s="1"/>
  <c r="CD51" i="1"/>
  <c r="CC51" i="1"/>
  <c r="CB51" i="1"/>
  <c r="CA51" i="1"/>
  <c r="BY51" i="1"/>
  <c r="BX51" i="1"/>
  <c r="BW51" i="1"/>
  <c r="BV51" i="1"/>
  <c r="BT51" i="1"/>
  <c r="BS51" i="1"/>
  <c r="BR51" i="1"/>
  <c r="BQ51" i="1"/>
  <c r="BO51" i="1"/>
  <c r="CJ51" i="1" s="1"/>
  <c r="BJ51" i="1"/>
  <c r="CE51" i="1" s="1"/>
  <c r="BE51" i="1"/>
  <c r="BZ51" i="1" s="1"/>
  <c r="AZ51" i="1"/>
  <c r="BU51" i="1" s="1"/>
  <c r="AU51" i="1"/>
  <c r="AT51" i="1"/>
  <c r="AS51" i="1"/>
  <c r="AR51" i="1"/>
  <c r="AQ51" i="1"/>
  <c r="AO51" i="1"/>
  <c r="AN51" i="1"/>
  <c r="AM51" i="1"/>
  <c r="AL51" i="1"/>
  <c r="AK51" i="1"/>
  <c r="AF51" i="1"/>
  <c r="AP51" i="1" s="1"/>
  <c r="AA51" i="1"/>
  <c r="V51" i="1"/>
  <c r="Q51" i="1"/>
  <c r="L51" i="1"/>
  <c r="G51" i="1"/>
  <c r="CI50" i="1"/>
  <c r="CH50" i="1"/>
  <c r="CG50" i="1"/>
  <c r="CF50" i="1"/>
  <c r="CD50" i="1"/>
  <c r="CC50" i="1"/>
  <c r="CB50" i="1"/>
  <c r="CA50" i="1"/>
  <c r="BY50" i="1"/>
  <c r="BX50" i="1"/>
  <c r="BW50" i="1"/>
  <c r="BV50" i="1"/>
  <c r="BT50" i="1"/>
  <c r="BS50" i="1"/>
  <c r="CM50" i="1" s="1"/>
  <c r="BR50" i="1"/>
  <c r="CL50" i="1" s="1"/>
  <c r="BQ50" i="1"/>
  <c r="BO50" i="1"/>
  <c r="BJ50" i="1"/>
  <c r="CE50" i="1" s="1"/>
  <c r="BE50" i="1"/>
  <c r="BZ50" i="1" s="1"/>
  <c r="AZ50" i="1"/>
  <c r="BU50" i="1" s="1"/>
  <c r="AT50" i="1"/>
  <c r="AS50" i="1"/>
  <c r="AR50" i="1"/>
  <c r="AQ50" i="1"/>
  <c r="AO50" i="1"/>
  <c r="AN50" i="1"/>
  <c r="AM50" i="1"/>
  <c r="AL50" i="1"/>
  <c r="AK50" i="1"/>
  <c r="AU50" i="1" s="1"/>
  <c r="AF50" i="1"/>
  <c r="AP50" i="1" s="1"/>
  <c r="AA50" i="1"/>
  <c r="V50" i="1"/>
  <c r="Q50" i="1"/>
  <c r="L50" i="1"/>
  <c r="G50" i="1"/>
  <c r="CO49" i="1"/>
  <c r="CM49" i="1"/>
  <c r="CJ49" i="1"/>
  <c r="CI49" i="1"/>
  <c r="CH49" i="1"/>
  <c r="CG49" i="1"/>
  <c r="CF49" i="1"/>
  <c r="CE49" i="1"/>
  <c r="CD49" i="1"/>
  <c r="CC49" i="1"/>
  <c r="CB49" i="1"/>
  <c r="CA49" i="1"/>
  <c r="BY49" i="1"/>
  <c r="BX49" i="1"/>
  <c r="BW49" i="1"/>
  <c r="BV49" i="1"/>
  <c r="BT49" i="1"/>
  <c r="CN49" i="1" s="1"/>
  <c r="BS49" i="1"/>
  <c r="BR49" i="1"/>
  <c r="BQ49" i="1"/>
  <c r="BO49" i="1"/>
  <c r="BJ49" i="1"/>
  <c r="BE49" i="1"/>
  <c r="BZ49" i="1" s="1"/>
  <c r="AZ49" i="1"/>
  <c r="BU49" i="1" s="1"/>
  <c r="AU49" i="1"/>
  <c r="AT49" i="1"/>
  <c r="AS49" i="1"/>
  <c r="AR49" i="1"/>
  <c r="AQ49" i="1"/>
  <c r="AP49" i="1"/>
  <c r="AO49" i="1"/>
  <c r="AN49" i="1"/>
  <c r="AM49" i="1"/>
  <c r="AL49" i="1"/>
  <c r="AK49" i="1"/>
  <c r="AF49" i="1"/>
  <c r="AA49" i="1"/>
  <c r="V49" i="1"/>
  <c r="Q49" i="1"/>
  <c r="L49" i="1"/>
  <c r="G49" i="1"/>
  <c r="CM48" i="1"/>
  <c r="CI48" i="1"/>
  <c r="CH48" i="1"/>
  <c r="CG48" i="1"/>
  <c r="CF48" i="1"/>
  <c r="CD48" i="1"/>
  <c r="CC48" i="1"/>
  <c r="CB48" i="1"/>
  <c r="CA48" i="1"/>
  <c r="BY48" i="1"/>
  <c r="BX48" i="1"/>
  <c r="BW48" i="1"/>
  <c r="BV48" i="1"/>
  <c r="CK48" i="1" s="1"/>
  <c r="BT48" i="1"/>
  <c r="BS48" i="1"/>
  <c r="BR48" i="1"/>
  <c r="CL48" i="1" s="1"/>
  <c r="BQ48" i="1"/>
  <c r="BO48" i="1"/>
  <c r="CJ48" i="1" s="1"/>
  <c r="BJ48" i="1"/>
  <c r="CE48" i="1" s="1"/>
  <c r="BE48" i="1"/>
  <c r="BZ48" i="1" s="1"/>
  <c r="CO48" i="1" s="1"/>
  <c r="AZ48" i="1"/>
  <c r="BU48" i="1" s="1"/>
  <c r="AT48" i="1"/>
  <c r="AS48" i="1"/>
  <c r="AR48" i="1"/>
  <c r="AQ48" i="1"/>
  <c r="AP48" i="1"/>
  <c r="AO48" i="1"/>
  <c r="AN48" i="1"/>
  <c r="AM48" i="1"/>
  <c r="AL48" i="1"/>
  <c r="AK48" i="1"/>
  <c r="AF48" i="1"/>
  <c r="AA48" i="1"/>
  <c r="V48" i="1"/>
  <c r="Q48" i="1"/>
  <c r="L48" i="1"/>
  <c r="G48" i="1"/>
  <c r="CI47" i="1"/>
  <c r="CH47" i="1"/>
  <c r="CG47" i="1"/>
  <c r="CF47" i="1"/>
  <c r="CD47" i="1"/>
  <c r="CC47" i="1"/>
  <c r="CB47" i="1"/>
  <c r="CA47" i="1"/>
  <c r="CK47" i="1" s="1"/>
  <c r="BY47" i="1"/>
  <c r="BX47" i="1"/>
  <c r="BW47" i="1"/>
  <c r="BV47" i="1"/>
  <c r="BT47" i="1"/>
  <c r="BS47" i="1"/>
  <c r="BR47" i="1"/>
  <c r="CL47" i="1" s="1"/>
  <c r="BQ47" i="1"/>
  <c r="BO47" i="1"/>
  <c r="CJ47" i="1" s="1"/>
  <c r="BJ47" i="1"/>
  <c r="CE47" i="1" s="1"/>
  <c r="BE47" i="1"/>
  <c r="BZ47" i="1" s="1"/>
  <c r="CO47" i="1" s="1"/>
  <c r="AZ47" i="1"/>
  <c r="BU47" i="1" s="1"/>
  <c r="AU47" i="1"/>
  <c r="AT47" i="1"/>
  <c r="AS47" i="1"/>
  <c r="AR47" i="1"/>
  <c r="AQ47" i="1"/>
  <c r="AO47" i="1"/>
  <c r="AN47" i="1"/>
  <c r="AM47" i="1"/>
  <c r="AL47" i="1"/>
  <c r="AK47" i="1"/>
  <c r="AF47" i="1"/>
  <c r="AP47" i="1" s="1"/>
  <c r="AA47" i="1"/>
  <c r="V47" i="1"/>
  <c r="Q47" i="1"/>
  <c r="L47" i="1"/>
  <c r="G47" i="1"/>
  <c r="CI46" i="1"/>
  <c r="CG46" i="1"/>
  <c r="CA46" i="1"/>
  <c r="BY46" i="1"/>
  <c r="BS46" i="1"/>
  <c r="BR46" i="1"/>
  <c r="BN46" i="1"/>
  <c r="BM46" i="1"/>
  <c r="CH46" i="1" s="1"/>
  <c r="BL46" i="1"/>
  <c r="BK46" i="1"/>
  <c r="BI46" i="1"/>
  <c r="CD46" i="1" s="1"/>
  <c r="BH46" i="1"/>
  <c r="BG46" i="1"/>
  <c r="CB46" i="1" s="1"/>
  <c r="BF46" i="1"/>
  <c r="BE46" i="1"/>
  <c r="BD46" i="1"/>
  <c r="BC46" i="1"/>
  <c r="BX46" i="1" s="1"/>
  <c r="BB46" i="1"/>
  <c r="BA46" i="1"/>
  <c r="BV46" i="1" s="1"/>
  <c r="AZ46" i="1"/>
  <c r="BU46" i="1" s="1"/>
  <c r="AY46" i="1"/>
  <c r="BT46" i="1" s="1"/>
  <c r="CN46" i="1" s="1"/>
  <c r="AX46" i="1"/>
  <c r="AW46" i="1"/>
  <c r="AV46" i="1"/>
  <c r="AS46" i="1"/>
  <c r="AO46" i="1"/>
  <c r="AL46" i="1"/>
  <c r="AJ46" i="1"/>
  <c r="AI46" i="1"/>
  <c r="AH46" i="1"/>
  <c r="AG46" i="1"/>
  <c r="AE46" i="1"/>
  <c r="AD46" i="1"/>
  <c r="AN46" i="1" s="1"/>
  <c r="AC46" i="1"/>
  <c r="AM46" i="1" s="1"/>
  <c r="AB46" i="1"/>
  <c r="Z46" i="1"/>
  <c r="Y46" i="1"/>
  <c r="X46" i="1"/>
  <c r="W46" i="1"/>
  <c r="U46" i="1"/>
  <c r="T46" i="1"/>
  <c r="V46" i="1" s="1"/>
  <c r="S46" i="1"/>
  <c r="R46" i="1"/>
  <c r="P46" i="1"/>
  <c r="O46" i="1"/>
  <c r="N46" i="1"/>
  <c r="AR46" i="1" s="1"/>
  <c r="M46" i="1"/>
  <c r="Q46" i="1" s="1"/>
  <c r="L46" i="1"/>
  <c r="K46" i="1"/>
  <c r="J46" i="1"/>
  <c r="I46" i="1"/>
  <c r="H46" i="1"/>
  <c r="F46" i="1"/>
  <c r="E46" i="1"/>
  <c r="CL45" i="1"/>
  <c r="CI45" i="1"/>
  <c r="CH45" i="1"/>
  <c r="CG45" i="1"/>
  <c r="CF45" i="1"/>
  <c r="CD45" i="1"/>
  <c r="CC45" i="1"/>
  <c r="CB45" i="1"/>
  <c r="CA45" i="1"/>
  <c r="BY45" i="1"/>
  <c r="BX45" i="1"/>
  <c r="BW45" i="1"/>
  <c r="BV45" i="1"/>
  <c r="BT45" i="1"/>
  <c r="BS45" i="1"/>
  <c r="BR45" i="1"/>
  <c r="BQ45" i="1"/>
  <c r="BO45" i="1"/>
  <c r="BJ45" i="1"/>
  <c r="BE45" i="1"/>
  <c r="AZ45" i="1"/>
  <c r="AT45" i="1"/>
  <c r="AS45" i="1"/>
  <c r="AR45" i="1"/>
  <c r="AQ45" i="1"/>
  <c r="AO45" i="1"/>
  <c r="AN45" i="1"/>
  <c r="AM45" i="1"/>
  <c r="AL45" i="1"/>
  <c r="AK45" i="1"/>
  <c r="AF45" i="1"/>
  <c r="AA45" i="1"/>
  <c r="V45" i="1"/>
  <c r="Q45" i="1"/>
  <c r="BZ45" i="1" s="1"/>
  <c r="L45" i="1"/>
  <c r="G45" i="1"/>
  <c r="CM44" i="1"/>
  <c r="CJ44" i="1"/>
  <c r="CI44" i="1"/>
  <c r="CH44" i="1"/>
  <c r="CG44" i="1"/>
  <c r="CF44" i="1"/>
  <c r="CD44" i="1"/>
  <c r="CC44" i="1"/>
  <c r="CB44" i="1"/>
  <c r="CA44" i="1"/>
  <c r="BY44" i="1"/>
  <c r="BX44" i="1"/>
  <c r="BW44" i="1"/>
  <c r="BV44" i="1"/>
  <c r="BT44" i="1"/>
  <c r="CN44" i="1" s="1"/>
  <c r="BS44" i="1"/>
  <c r="BR44" i="1"/>
  <c r="CL44" i="1" s="1"/>
  <c r="BQ44" i="1"/>
  <c r="CK44" i="1" s="1"/>
  <c r="BO44" i="1"/>
  <c r="BJ44" i="1"/>
  <c r="CE44" i="1" s="1"/>
  <c r="BE44" i="1"/>
  <c r="BZ44" i="1" s="1"/>
  <c r="AZ44" i="1"/>
  <c r="BU44" i="1" s="1"/>
  <c r="AU44" i="1"/>
  <c r="AT44" i="1"/>
  <c r="AS44" i="1"/>
  <c r="AR44" i="1"/>
  <c r="AQ44" i="1"/>
  <c r="AP44" i="1"/>
  <c r="AO44" i="1"/>
  <c r="AN44" i="1"/>
  <c r="AM44" i="1"/>
  <c r="AL44" i="1"/>
  <c r="AK44" i="1"/>
  <c r="AF44" i="1"/>
  <c r="AA44" i="1"/>
  <c r="V44" i="1"/>
  <c r="Q44" i="1"/>
  <c r="L44" i="1"/>
  <c r="G44" i="1"/>
  <c r="CM43" i="1"/>
  <c r="CL43" i="1"/>
  <c r="CI43" i="1"/>
  <c r="CH43" i="1"/>
  <c r="CG43" i="1"/>
  <c r="CF43" i="1"/>
  <c r="CD43" i="1"/>
  <c r="CC43" i="1"/>
  <c r="CB43" i="1"/>
  <c r="CA43" i="1"/>
  <c r="BY43" i="1"/>
  <c r="BX43" i="1"/>
  <c r="BW43" i="1"/>
  <c r="BV43" i="1"/>
  <c r="CK43" i="1" s="1"/>
  <c r="BT43" i="1"/>
  <c r="BS43" i="1"/>
  <c r="BR43" i="1"/>
  <c r="BQ43" i="1"/>
  <c r="BO43" i="1"/>
  <c r="BJ43" i="1"/>
  <c r="CE43" i="1" s="1"/>
  <c r="BE43" i="1"/>
  <c r="BZ43" i="1" s="1"/>
  <c r="AZ43" i="1"/>
  <c r="BU43" i="1" s="1"/>
  <c r="AT43" i="1"/>
  <c r="AS43" i="1"/>
  <c r="AR43" i="1"/>
  <c r="AQ43" i="1"/>
  <c r="AO43" i="1"/>
  <c r="AN43" i="1"/>
  <c r="AM43" i="1"/>
  <c r="AL43" i="1"/>
  <c r="AK43" i="1"/>
  <c r="AU43" i="1" s="1"/>
  <c r="AF43" i="1"/>
  <c r="AA43" i="1"/>
  <c r="V43" i="1"/>
  <c r="Q43" i="1"/>
  <c r="AP43" i="1" s="1"/>
  <c r="L43" i="1"/>
  <c r="G43" i="1"/>
  <c r="CK42" i="1"/>
  <c r="CJ42" i="1"/>
  <c r="CI42" i="1"/>
  <c r="CH42" i="1"/>
  <c r="CG42" i="1"/>
  <c r="CF42" i="1"/>
  <c r="CD42" i="1"/>
  <c r="CC42" i="1"/>
  <c r="CB42" i="1"/>
  <c r="CA42" i="1"/>
  <c r="BY42" i="1"/>
  <c r="BX42" i="1"/>
  <c r="BW42" i="1"/>
  <c r="BV42" i="1"/>
  <c r="BT42" i="1"/>
  <c r="CN42" i="1" s="1"/>
  <c r="BS42" i="1"/>
  <c r="CM42" i="1" s="1"/>
  <c r="BR42" i="1"/>
  <c r="BQ42" i="1"/>
  <c r="BO42" i="1"/>
  <c r="BJ42" i="1"/>
  <c r="CE42" i="1" s="1"/>
  <c r="BE42" i="1"/>
  <c r="BZ42" i="1" s="1"/>
  <c r="AZ42" i="1"/>
  <c r="BU42" i="1" s="1"/>
  <c r="AU42" i="1"/>
  <c r="AT42" i="1"/>
  <c r="AS42" i="1"/>
  <c r="AR42" i="1"/>
  <c r="AQ42" i="1"/>
  <c r="AO42" i="1"/>
  <c r="AN42" i="1"/>
  <c r="AM42" i="1"/>
  <c r="AL42" i="1"/>
  <c r="AK42" i="1"/>
  <c r="AF42" i="1"/>
  <c r="AP42" i="1" s="1"/>
  <c r="AA42" i="1"/>
  <c r="V42" i="1"/>
  <c r="Q42" i="1"/>
  <c r="L42" i="1"/>
  <c r="G42" i="1"/>
  <c r="CI41" i="1"/>
  <c r="CH41" i="1"/>
  <c r="CG41" i="1"/>
  <c r="CF41" i="1"/>
  <c r="CD41" i="1"/>
  <c r="CC41" i="1"/>
  <c r="CB41" i="1"/>
  <c r="CA41" i="1"/>
  <c r="BZ41" i="1"/>
  <c r="BY41" i="1"/>
  <c r="BX41" i="1"/>
  <c r="BW41" i="1"/>
  <c r="BV41" i="1"/>
  <c r="BT41" i="1"/>
  <c r="BS41" i="1"/>
  <c r="CM41" i="1" s="1"/>
  <c r="BR41" i="1"/>
  <c r="CL41" i="1" s="1"/>
  <c r="BQ41" i="1"/>
  <c r="BO41" i="1"/>
  <c r="BJ41" i="1"/>
  <c r="CE41" i="1" s="1"/>
  <c r="BE41" i="1"/>
  <c r="AZ41" i="1"/>
  <c r="BU41" i="1" s="1"/>
  <c r="AT41" i="1"/>
  <c r="AS41" i="1"/>
  <c r="AR41" i="1"/>
  <c r="AQ41" i="1"/>
  <c r="AO41" i="1"/>
  <c r="AN41" i="1"/>
  <c r="AM41" i="1"/>
  <c r="AL41" i="1"/>
  <c r="AK41" i="1"/>
  <c r="AU41" i="1" s="1"/>
  <c r="AF41" i="1"/>
  <c r="AP41" i="1" s="1"/>
  <c r="AA41" i="1"/>
  <c r="V41" i="1"/>
  <c r="Q41" i="1"/>
  <c r="L41" i="1"/>
  <c r="G41" i="1"/>
  <c r="CO40" i="1"/>
  <c r="CM40" i="1"/>
  <c r="CJ40" i="1"/>
  <c r="CI40" i="1"/>
  <c r="CH40" i="1"/>
  <c r="CG40" i="1"/>
  <c r="CF40" i="1"/>
  <c r="CE40" i="1"/>
  <c r="CD40" i="1"/>
  <c r="CC40" i="1"/>
  <c r="CB40" i="1"/>
  <c r="CA40" i="1"/>
  <c r="BY40" i="1"/>
  <c r="BX40" i="1"/>
  <c r="BW40" i="1"/>
  <c r="BV40" i="1"/>
  <c r="BT40" i="1"/>
  <c r="CN40" i="1" s="1"/>
  <c r="BS40" i="1"/>
  <c r="BR40" i="1"/>
  <c r="CL40" i="1" s="1"/>
  <c r="BQ40" i="1"/>
  <c r="CK40" i="1" s="1"/>
  <c r="BO40" i="1"/>
  <c r="BJ40" i="1"/>
  <c r="BE40" i="1"/>
  <c r="BZ40" i="1" s="1"/>
  <c r="AZ40" i="1"/>
  <c r="BU40" i="1" s="1"/>
  <c r="AU40" i="1"/>
  <c r="AT40" i="1"/>
  <c r="AS40" i="1"/>
  <c r="AR40" i="1"/>
  <c r="AQ40" i="1"/>
  <c r="AO40" i="1"/>
  <c r="AN40" i="1"/>
  <c r="AM40" i="1"/>
  <c r="AL40" i="1"/>
  <c r="AK40" i="1"/>
  <c r="AF40" i="1"/>
  <c r="AP40" i="1" s="1"/>
  <c r="AA40" i="1"/>
  <c r="V40" i="1"/>
  <c r="Q40" i="1"/>
  <c r="L40" i="1"/>
  <c r="G40" i="1"/>
  <c r="CK39" i="1"/>
  <c r="CI39" i="1"/>
  <c r="CH39" i="1"/>
  <c r="CG39" i="1"/>
  <c r="CF39" i="1"/>
  <c r="CE39" i="1"/>
  <c r="CD39" i="1"/>
  <c r="CC39" i="1"/>
  <c r="CM39" i="1" s="1"/>
  <c r="CB39" i="1"/>
  <c r="CA39" i="1"/>
  <c r="BY39" i="1"/>
  <c r="BX39" i="1"/>
  <c r="BW39" i="1"/>
  <c r="CL39" i="1" s="1"/>
  <c r="BV39" i="1"/>
  <c r="BT39" i="1"/>
  <c r="CN39" i="1" s="1"/>
  <c r="BS39" i="1"/>
  <c r="BR39" i="1"/>
  <c r="BQ39" i="1"/>
  <c r="BO39" i="1"/>
  <c r="BJ39" i="1"/>
  <c r="BE39" i="1"/>
  <c r="BZ39" i="1" s="1"/>
  <c r="AZ39" i="1"/>
  <c r="BU39" i="1" s="1"/>
  <c r="AT39" i="1"/>
  <c r="AS39" i="1"/>
  <c r="AR39" i="1"/>
  <c r="AQ39" i="1"/>
  <c r="AO39" i="1"/>
  <c r="AN39" i="1"/>
  <c r="AM39" i="1"/>
  <c r="AL39" i="1"/>
  <c r="AK39" i="1"/>
  <c r="AF39" i="1"/>
  <c r="AA39" i="1"/>
  <c r="V39" i="1"/>
  <c r="Q39" i="1"/>
  <c r="AP39" i="1" s="1"/>
  <c r="L39" i="1"/>
  <c r="G39" i="1"/>
  <c r="CI38" i="1"/>
  <c r="CN38" i="1" s="1"/>
  <c r="CH38" i="1"/>
  <c r="CG38" i="1"/>
  <c r="CF38" i="1"/>
  <c r="CD38" i="1"/>
  <c r="CC38" i="1"/>
  <c r="CB38" i="1"/>
  <c r="CA38" i="1"/>
  <c r="BZ38" i="1"/>
  <c r="BY38" i="1"/>
  <c r="BX38" i="1"/>
  <c r="BW38" i="1"/>
  <c r="BV38" i="1"/>
  <c r="BT38" i="1"/>
  <c r="BS38" i="1"/>
  <c r="CM38" i="1" s="1"/>
  <c r="BR38" i="1"/>
  <c r="CL38" i="1" s="1"/>
  <c r="BQ38" i="1"/>
  <c r="BO38" i="1"/>
  <c r="CJ38" i="1" s="1"/>
  <c r="BJ38" i="1"/>
  <c r="CE38" i="1" s="1"/>
  <c r="BE38" i="1"/>
  <c r="AZ38" i="1"/>
  <c r="BU38" i="1" s="1"/>
  <c r="AT38" i="1"/>
  <c r="AS38" i="1"/>
  <c r="AR38" i="1"/>
  <c r="AQ38" i="1"/>
  <c r="AP38" i="1"/>
  <c r="AO38" i="1"/>
  <c r="AN38" i="1"/>
  <c r="AM38" i="1"/>
  <c r="AL38" i="1"/>
  <c r="AK38" i="1"/>
  <c r="AU38" i="1" s="1"/>
  <c r="AF38" i="1"/>
  <c r="AA38" i="1"/>
  <c r="V38" i="1"/>
  <c r="Q38" i="1"/>
  <c r="L38" i="1"/>
  <c r="G38" i="1"/>
  <c r="CG37" i="1"/>
  <c r="CF37" i="1"/>
  <c r="CD37" i="1"/>
  <c r="BY37" i="1"/>
  <c r="BX37" i="1"/>
  <c r="BW37" i="1"/>
  <c r="BV37" i="1"/>
  <c r="BQ37" i="1"/>
  <c r="BN37" i="1"/>
  <c r="CI37" i="1" s="1"/>
  <c r="BM37" i="1"/>
  <c r="CH37" i="1" s="1"/>
  <c r="BL37" i="1"/>
  <c r="BK37" i="1"/>
  <c r="BI37" i="1"/>
  <c r="BH37" i="1"/>
  <c r="CC37" i="1" s="1"/>
  <c r="BG37" i="1"/>
  <c r="CB37" i="1" s="1"/>
  <c r="CL37" i="1" s="1"/>
  <c r="BF37" i="1"/>
  <c r="CA37" i="1" s="1"/>
  <c r="BE37" i="1"/>
  <c r="BD37" i="1"/>
  <c r="BC37" i="1"/>
  <c r="BB37" i="1"/>
  <c r="BA37" i="1"/>
  <c r="AZ37" i="1"/>
  <c r="BU37" i="1" s="1"/>
  <c r="AY37" i="1"/>
  <c r="BT37" i="1" s="1"/>
  <c r="CN37" i="1" s="1"/>
  <c r="AX37" i="1"/>
  <c r="BS37" i="1" s="1"/>
  <c r="AW37" i="1"/>
  <c r="BR37" i="1" s="1"/>
  <c r="AV37" i="1"/>
  <c r="AR37" i="1"/>
  <c r="AO37" i="1"/>
  <c r="AN37" i="1"/>
  <c r="AJ37" i="1"/>
  <c r="AT37" i="1" s="1"/>
  <c r="AI37" i="1"/>
  <c r="AS37" i="1" s="1"/>
  <c r="AH37" i="1"/>
  <c r="AG37" i="1"/>
  <c r="AQ37" i="1" s="1"/>
  <c r="AE37" i="1"/>
  <c r="AD37" i="1"/>
  <c r="AC37" i="1"/>
  <c r="AM37" i="1" s="1"/>
  <c r="AB37" i="1"/>
  <c r="AA37" i="1"/>
  <c r="Z37" i="1"/>
  <c r="Y37" i="1"/>
  <c r="X37" i="1"/>
  <c r="W37" i="1"/>
  <c r="U37" i="1"/>
  <c r="T37" i="1"/>
  <c r="S37" i="1"/>
  <c r="R37" i="1"/>
  <c r="V37" i="1" s="1"/>
  <c r="Q37" i="1"/>
  <c r="P37" i="1"/>
  <c r="O37" i="1"/>
  <c r="N37" i="1"/>
  <c r="M37" i="1"/>
  <c r="K37" i="1"/>
  <c r="L37" i="1" s="1"/>
  <c r="J37" i="1"/>
  <c r="I37" i="1"/>
  <c r="H37" i="1"/>
  <c r="F37" i="1"/>
  <c r="G37" i="1" s="1"/>
  <c r="E37" i="1"/>
  <c r="CL36" i="1"/>
  <c r="CI36" i="1"/>
  <c r="CH36" i="1"/>
  <c r="CG36" i="1"/>
  <c r="CF36" i="1"/>
  <c r="CD36" i="1"/>
  <c r="CC36" i="1"/>
  <c r="CB36" i="1"/>
  <c r="CA36" i="1"/>
  <c r="BY36" i="1"/>
  <c r="CN36" i="1" s="1"/>
  <c r="BX36" i="1"/>
  <c r="CM36" i="1" s="1"/>
  <c r="BW36" i="1"/>
  <c r="BV36" i="1"/>
  <c r="BT36" i="1"/>
  <c r="BS36" i="1"/>
  <c r="BR36" i="1"/>
  <c r="BQ36" i="1"/>
  <c r="CK36" i="1" s="1"/>
  <c r="BO36" i="1"/>
  <c r="BJ36" i="1"/>
  <c r="BE36" i="1"/>
  <c r="AZ36" i="1"/>
  <c r="AT36" i="1"/>
  <c r="AS36" i="1"/>
  <c r="AR36" i="1"/>
  <c r="AQ36" i="1"/>
  <c r="AO36" i="1"/>
  <c r="AN36" i="1"/>
  <c r="AM36" i="1"/>
  <c r="AL36" i="1"/>
  <c r="AK36" i="1"/>
  <c r="AF36" i="1"/>
  <c r="AA36" i="1"/>
  <c r="V36" i="1"/>
  <c r="Q36" i="1"/>
  <c r="L36" i="1"/>
  <c r="G36" i="1"/>
  <c r="CM35" i="1"/>
  <c r="CL35" i="1"/>
  <c r="CI35" i="1"/>
  <c r="CH35" i="1"/>
  <c r="CG35" i="1"/>
  <c r="CF35" i="1"/>
  <c r="CD35" i="1"/>
  <c r="CC35" i="1"/>
  <c r="CB35" i="1"/>
  <c r="CA35" i="1"/>
  <c r="BY35" i="1"/>
  <c r="BX35" i="1"/>
  <c r="BW35" i="1"/>
  <c r="BV35" i="1"/>
  <c r="CK35" i="1" s="1"/>
  <c r="BT35" i="1"/>
  <c r="CN35" i="1" s="1"/>
  <c r="BS35" i="1"/>
  <c r="BR35" i="1"/>
  <c r="BQ35" i="1"/>
  <c r="BO35" i="1"/>
  <c r="BJ35" i="1"/>
  <c r="CE35" i="1" s="1"/>
  <c r="BE35" i="1"/>
  <c r="AZ35" i="1"/>
  <c r="AU35" i="1"/>
  <c r="AT35" i="1"/>
  <c r="AS35" i="1"/>
  <c r="AR35" i="1"/>
  <c r="AQ35" i="1"/>
  <c r="AP35" i="1"/>
  <c r="AO35" i="1"/>
  <c r="AN35" i="1"/>
  <c r="AM35" i="1"/>
  <c r="AL35" i="1"/>
  <c r="AK35" i="1"/>
  <c r="AF35" i="1"/>
  <c r="AA35" i="1"/>
  <c r="V35" i="1"/>
  <c r="Q35" i="1"/>
  <c r="CJ35" i="1" s="1"/>
  <c r="L35" i="1"/>
  <c r="G35" i="1"/>
  <c r="CK34" i="1"/>
  <c r="CJ34" i="1"/>
  <c r="CI34" i="1"/>
  <c r="CH34" i="1"/>
  <c r="CG34" i="1"/>
  <c r="CF34" i="1"/>
  <c r="CD34" i="1"/>
  <c r="CC34" i="1"/>
  <c r="CB34" i="1"/>
  <c r="CA34" i="1"/>
  <c r="BZ34" i="1"/>
  <c r="BY34" i="1"/>
  <c r="BX34" i="1"/>
  <c r="BW34" i="1"/>
  <c r="BV34" i="1"/>
  <c r="BT34" i="1"/>
  <c r="CN34" i="1" s="1"/>
  <c r="BS34" i="1"/>
  <c r="BR34" i="1"/>
  <c r="CL34" i="1" s="1"/>
  <c r="BQ34" i="1"/>
  <c r="BO34" i="1"/>
  <c r="BJ34" i="1"/>
  <c r="CE34" i="1" s="1"/>
  <c r="BE34" i="1"/>
  <c r="AZ34" i="1"/>
  <c r="BU34" i="1" s="1"/>
  <c r="AU34" i="1"/>
  <c r="AT34" i="1"/>
  <c r="AS34" i="1"/>
  <c r="AR34" i="1"/>
  <c r="AQ34" i="1"/>
  <c r="AO34" i="1"/>
  <c r="AN34" i="1"/>
  <c r="AM34" i="1"/>
  <c r="AL34" i="1"/>
  <c r="AK34" i="1"/>
  <c r="AF34" i="1"/>
  <c r="AP34" i="1" s="1"/>
  <c r="AA34" i="1"/>
  <c r="V34" i="1"/>
  <c r="Q34" i="1"/>
  <c r="L34" i="1"/>
  <c r="G34" i="1"/>
  <c r="CN33" i="1"/>
  <c r="CI33" i="1"/>
  <c r="CH33" i="1"/>
  <c r="CG33" i="1"/>
  <c r="CF33" i="1"/>
  <c r="CD33" i="1"/>
  <c r="CC33" i="1"/>
  <c r="CB33" i="1"/>
  <c r="CA33" i="1"/>
  <c r="BZ33" i="1"/>
  <c r="BY33" i="1"/>
  <c r="BX33" i="1"/>
  <c r="BW33" i="1"/>
  <c r="BV33" i="1"/>
  <c r="BT33" i="1"/>
  <c r="BS33" i="1"/>
  <c r="BR33" i="1"/>
  <c r="CL33" i="1" s="1"/>
  <c r="BQ33" i="1"/>
  <c r="BO33" i="1"/>
  <c r="CJ33" i="1" s="1"/>
  <c r="BJ33" i="1"/>
  <c r="CE33" i="1" s="1"/>
  <c r="BE33" i="1"/>
  <c r="AZ33" i="1"/>
  <c r="BU33" i="1" s="1"/>
  <c r="AT33" i="1"/>
  <c r="AS33" i="1"/>
  <c r="AR33" i="1"/>
  <c r="AQ33" i="1"/>
  <c r="AP33" i="1"/>
  <c r="AO33" i="1"/>
  <c r="AN33" i="1"/>
  <c r="AM33" i="1"/>
  <c r="AL33" i="1"/>
  <c r="AK33" i="1"/>
  <c r="AU33" i="1" s="1"/>
  <c r="AF33" i="1"/>
  <c r="AA33" i="1"/>
  <c r="V33" i="1"/>
  <c r="Q33" i="1"/>
  <c r="L33" i="1"/>
  <c r="G33" i="1"/>
  <c r="CN32" i="1"/>
  <c r="CI32" i="1"/>
  <c r="CH32" i="1"/>
  <c r="CG32" i="1"/>
  <c r="CL32" i="1" s="1"/>
  <c r="CF32" i="1"/>
  <c r="CD32" i="1"/>
  <c r="CC32" i="1"/>
  <c r="CB32" i="1"/>
  <c r="CA32" i="1"/>
  <c r="BY32" i="1"/>
  <c r="BX32" i="1"/>
  <c r="CM32" i="1" s="1"/>
  <c r="BW32" i="1"/>
  <c r="BV32" i="1"/>
  <c r="BT32" i="1"/>
  <c r="BS32" i="1"/>
  <c r="BR32" i="1"/>
  <c r="BQ32" i="1"/>
  <c r="BO32" i="1"/>
  <c r="BJ32" i="1"/>
  <c r="CE32" i="1" s="1"/>
  <c r="BE32" i="1"/>
  <c r="BZ32" i="1" s="1"/>
  <c r="AZ32" i="1"/>
  <c r="BU32" i="1" s="1"/>
  <c r="AT32" i="1"/>
  <c r="AS32" i="1"/>
  <c r="AR32" i="1"/>
  <c r="AQ32" i="1"/>
  <c r="AO32" i="1"/>
  <c r="AN32" i="1"/>
  <c r="AM32" i="1"/>
  <c r="AL32" i="1"/>
  <c r="AK32" i="1"/>
  <c r="AF32" i="1"/>
  <c r="AA32" i="1"/>
  <c r="V32" i="1"/>
  <c r="Q32" i="1"/>
  <c r="L32" i="1"/>
  <c r="G32" i="1"/>
  <c r="CM31" i="1"/>
  <c r="CI31" i="1"/>
  <c r="CH31" i="1"/>
  <c r="CG31" i="1"/>
  <c r="CF31" i="1"/>
  <c r="CE31" i="1"/>
  <c r="CD31" i="1"/>
  <c r="CC31" i="1"/>
  <c r="CB31" i="1"/>
  <c r="CA31" i="1"/>
  <c r="BY31" i="1"/>
  <c r="BX31" i="1"/>
  <c r="BW31" i="1"/>
  <c r="CL31" i="1" s="1"/>
  <c r="BV31" i="1"/>
  <c r="CK31" i="1" s="1"/>
  <c r="BT31" i="1"/>
  <c r="CN31" i="1" s="1"/>
  <c r="BS31" i="1"/>
  <c r="BR31" i="1"/>
  <c r="BQ31" i="1"/>
  <c r="BO31" i="1"/>
  <c r="BJ31" i="1"/>
  <c r="BE31" i="1"/>
  <c r="AZ31" i="1"/>
  <c r="BU31" i="1" s="1"/>
  <c r="AU31" i="1"/>
  <c r="AT31" i="1"/>
  <c r="AS31" i="1"/>
  <c r="AR31" i="1"/>
  <c r="AQ31" i="1"/>
  <c r="AO31" i="1"/>
  <c r="AN31" i="1"/>
  <c r="AM31" i="1"/>
  <c r="AL31" i="1"/>
  <c r="AK31" i="1"/>
  <c r="AF31" i="1"/>
  <c r="AA31" i="1"/>
  <c r="V31" i="1"/>
  <c r="Q31" i="1"/>
  <c r="CJ31" i="1" s="1"/>
  <c r="L31" i="1"/>
  <c r="G31" i="1"/>
  <c r="CK30" i="1"/>
  <c r="CJ30" i="1"/>
  <c r="CI30" i="1"/>
  <c r="CH30" i="1"/>
  <c r="CG30" i="1"/>
  <c r="CF30" i="1"/>
  <c r="CD30" i="1"/>
  <c r="CC30" i="1"/>
  <c r="CB30" i="1"/>
  <c r="CA30" i="1"/>
  <c r="BZ30" i="1"/>
  <c r="BY30" i="1"/>
  <c r="BX30" i="1"/>
  <c r="BW30" i="1"/>
  <c r="BV30" i="1"/>
  <c r="BT30" i="1"/>
  <c r="CN30" i="1" s="1"/>
  <c r="BS30" i="1"/>
  <c r="BR30" i="1"/>
  <c r="CL30" i="1" s="1"/>
  <c r="BQ30" i="1"/>
  <c r="BO30" i="1"/>
  <c r="BJ30" i="1"/>
  <c r="CE30" i="1" s="1"/>
  <c r="BE30" i="1"/>
  <c r="AZ30" i="1"/>
  <c r="BU30" i="1" s="1"/>
  <c r="AU30" i="1"/>
  <c r="AT30" i="1"/>
  <c r="AS30" i="1"/>
  <c r="AR30" i="1"/>
  <c r="AQ30" i="1"/>
  <c r="AO30" i="1"/>
  <c r="AN30" i="1"/>
  <c r="AM30" i="1"/>
  <c r="AL30" i="1"/>
  <c r="AK30" i="1"/>
  <c r="AF30" i="1"/>
  <c r="AP30" i="1" s="1"/>
  <c r="AA30" i="1"/>
  <c r="V30" i="1"/>
  <c r="Q30" i="1"/>
  <c r="L30" i="1"/>
  <c r="G30" i="1"/>
  <c r="CI29" i="1"/>
  <c r="CH29" i="1"/>
  <c r="BX29" i="1"/>
  <c r="BS29" i="1"/>
  <c r="BO29" i="1"/>
  <c r="BN29" i="1"/>
  <c r="BM29" i="1"/>
  <c r="BL29" i="1"/>
  <c r="BK29" i="1"/>
  <c r="BI29" i="1"/>
  <c r="CD29" i="1" s="1"/>
  <c r="BH29" i="1"/>
  <c r="CC29" i="1" s="1"/>
  <c r="BG29" i="1"/>
  <c r="BF29" i="1"/>
  <c r="BD29" i="1"/>
  <c r="BY29" i="1" s="1"/>
  <c r="BC29" i="1"/>
  <c r="BB29" i="1"/>
  <c r="BW29" i="1" s="1"/>
  <c r="BA29" i="1"/>
  <c r="AY29" i="1"/>
  <c r="BT29" i="1" s="1"/>
  <c r="CN29" i="1" s="1"/>
  <c r="AX29" i="1"/>
  <c r="AW29" i="1"/>
  <c r="AV29" i="1"/>
  <c r="AT29" i="1"/>
  <c r="AL29" i="1"/>
  <c r="AK29" i="1"/>
  <c r="AU29" i="1" s="1"/>
  <c r="AJ29" i="1"/>
  <c r="AI29" i="1"/>
  <c r="AS29" i="1" s="1"/>
  <c r="AH29" i="1"/>
  <c r="AR29" i="1" s="1"/>
  <c r="AG29" i="1"/>
  <c r="AE29" i="1"/>
  <c r="AO29" i="1" s="1"/>
  <c r="AD29" i="1"/>
  <c r="AN29" i="1" s="1"/>
  <c r="AC29" i="1"/>
  <c r="AM29" i="1" s="1"/>
  <c r="AB29" i="1"/>
  <c r="AF29" i="1" s="1"/>
  <c r="AP29" i="1" s="1"/>
  <c r="AA29" i="1"/>
  <c r="Z29" i="1"/>
  <c r="Y29" i="1"/>
  <c r="X29" i="1"/>
  <c r="W29" i="1"/>
  <c r="U29" i="1"/>
  <c r="V29" i="1" s="1"/>
  <c r="T29" i="1"/>
  <c r="S29" i="1"/>
  <c r="R29" i="1"/>
  <c r="P29" i="1"/>
  <c r="O29" i="1"/>
  <c r="N29" i="1"/>
  <c r="BR29" i="1" s="1"/>
  <c r="M29" i="1"/>
  <c r="Q29" i="1" s="1"/>
  <c r="K29" i="1"/>
  <c r="J29" i="1"/>
  <c r="I29" i="1"/>
  <c r="H29" i="1"/>
  <c r="F29" i="1"/>
  <c r="G29" i="1" s="1"/>
  <c r="E29" i="1"/>
  <c r="CI28" i="1"/>
  <c r="CN28" i="1" s="1"/>
  <c r="CH28" i="1"/>
  <c r="CG28" i="1"/>
  <c r="CF28" i="1"/>
  <c r="CD28" i="1"/>
  <c r="CC28" i="1"/>
  <c r="CB28" i="1"/>
  <c r="CA28" i="1"/>
  <c r="BZ28" i="1"/>
  <c r="BY28" i="1"/>
  <c r="BX28" i="1"/>
  <c r="BW28" i="1"/>
  <c r="BV28" i="1"/>
  <c r="BT28" i="1"/>
  <c r="BS28" i="1"/>
  <c r="BR28" i="1"/>
  <c r="CL28" i="1" s="1"/>
  <c r="BQ28" i="1"/>
  <c r="CK28" i="1" s="1"/>
  <c r="BO28" i="1"/>
  <c r="CJ28" i="1" s="1"/>
  <c r="BJ28" i="1"/>
  <c r="CE28" i="1" s="1"/>
  <c r="BE28" i="1"/>
  <c r="AZ28" i="1"/>
  <c r="BU28" i="1" s="1"/>
  <c r="AT28" i="1"/>
  <c r="AS28" i="1"/>
  <c r="AR28" i="1"/>
  <c r="AQ28" i="1"/>
  <c r="AP28" i="1"/>
  <c r="AO28" i="1"/>
  <c r="AN28" i="1"/>
  <c r="AM28" i="1"/>
  <c r="AL28" i="1"/>
  <c r="AK28" i="1"/>
  <c r="AU28" i="1" s="1"/>
  <c r="AF28" i="1"/>
  <c r="AA28" i="1"/>
  <c r="V28" i="1"/>
  <c r="Q28" i="1"/>
  <c r="L28" i="1"/>
  <c r="G28" i="1"/>
  <c r="CI27" i="1"/>
  <c r="CH27" i="1"/>
  <c r="CG27" i="1"/>
  <c r="CL27" i="1" s="1"/>
  <c r="CF27" i="1"/>
  <c r="CD27" i="1"/>
  <c r="CC27" i="1"/>
  <c r="CB27" i="1"/>
  <c r="CA27" i="1"/>
  <c r="BY27" i="1"/>
  <c r="CN27" i="1" s="1"/>
  <c r="BX27" i="1"/>
  <c r="BW27" i="1"/>
  <c r="BV27" i="1"/>
  <c r="BT27" i="1"/>
  <c r="BS27" i="1"/>
  <c r="BR27" i="1"/>
  <c r="BQ27" i="1"/>
  <c r="CK27" i="1" s="1"/>
  <c r="BO27" i="1"/>
  <c r="CJ27" i="1" s="1"/>
  <c r="BJ27" i="1"/>
  <c r="CE27" i="1" s="1"/>
  <c r="BE27" i="1"/>
  <c r="BZ27" i="1" s="1"/>
  <c r="AZ27" i="1"/>
  <c r="AT27" i="1"/>
  <c r="AS27" i="1"/>
  <c r="AR27" i="1"/>
  <c r="AQ27" i="1"/>
  <c r="AO27" i="1"/>
  <c r="AN27" i="1"/>
  <c r="AM27" i="1"/>
  <c r="AL27" i="1"/>
  <c r="AK27" i="1"/>
  <c r="AF27" i="1"/>
  <c r="AA27" i="1"/>
  <c r="V27" i="1"/>
  <c r="Q27" i="1"/>
  <c r="L27" i="1"/>
  <c r="G27" i="1"/>
  <c r="CM26" i="1"/>
  <c r="CI26" i="1"/>
  <c r="CH26" i="1"/>
  <c r="CG26" i="1"/>
  <c r="CF26" i="1"/>
  <c r="CD26" i="1"/>
  <c r="CC26" i="1"/>
  <c r="CB26" i="1"/>
  <c r="CA26" i="1"/>
  <c r="BY26" i="1"/>
  <c r="BX26" i="1"/>
  <c r="BW26" i="1"/>
  <c r="CL26" i="1" s="1"/>
  <c r="BV26" i="1"/>
  <c r="BT26" i="1"/>
  <c r="CN26" i="1" s="1"/>
  <c r="BS26" i="1"/>
  <c r="BR26" i="1"/>
  <c r="BQ26" i="1"/>
  <c r="BO26" i="1"/>
  <c r="BJ26" i="1"/>
  <c r="BE26" i="1"/>
  <c r="BZ26" i="1" s="1"/>
  <c r="AZ26" i="1"/>
  <c r="AT26" i="1"/>
  <c r="AS26" i="1"/>
  <c r="AR26" i="1"/>
  <c r="AQ26" i="1"/>
  <c r="AO26" i="1"/>
  <c r="AN26" i="1"/>
  <c r="AM26" i="1"/>
  <c r="AL26" i="1"/>
  <c r="AK26" i="1"/>
  <c r="AF26" i="1"/>
  <c r="AA26" i="1"/>
  <c r="V26" i="1"/>
  <c r="Q26" i="1"/>
  <c r="CE26" i="1" s="1"/>
  <c r="L26" i="1"/>
  <c r="G26" i="1"/>
  <c r="CK25" i="1"/>
  <c r="CJ25" i="1"/>
  <c r="CI25" i="1"/>
  <c r="CH25" i="1"/>
  <c r="CG25" i="1"/>
  <c r="CF25" i="1"/>
  <c r="CD25" i="1"/>
  <c r="CC25" i="1"/>
  <c r="CB25" i="1"/>
  <c r="CA25" i="1"/>
  <c r="BZ25" i="1"/>
  <c r="BY25" i="1"/>
  <c r="BX25" i="1"/>
  <c r="BW25" i="1"/>
  <c r="BV25" i="1"/>
  <c r="BT25" i="1"/>
  <c r="CN25" i="1" s="1"/>
  <c r="BS25" i="1"/>
  <c r="CM25" i="1" s="1"/>
  <c r="BR25" i="1"/>
  <c r="CL25" i="1" s="1"/>
  <c r="BQ25" i="1"/>
  <c r="BO25" i="1"/>
  <c r="BJ25" i="1"/>
  <c r="CE25" i="1" s="1"/>
  <c r="BE25" i="1"/>
  <c r="AZ25" i="1"/>
  <c r="BU25" i="1" s="1"/>
  <c r="AT25" i="1"/>
  <c r="AS25" i="1"/>
  <c r="AR25" i="1"/>
  <c r="AQ25" i="1"/>
  <c r="AP25" i="1"/>
  <c r="AO25" i="1"/>
  <c r="AN25" i="1"/>
  <c r="AM25" i="1"/>
  <c r="AL25" i="1"/>
  <c r="AK25" i="1"/>
  <c r="AU25" i="1" s="1"/>
  <c r="AF25" i="1"/>
  <c r="AA25" i="1"/>
  <c r="V25" i="1"/>
  <c r="Q25" i="1"/>
  <c r="L25" i="1"/>
  <c r="G25" i="1"/>
  <c r="CN24" i="1"/>
  <c r="CI24" i="1"/>
  <c r="CH24" i="1"/>
  <c r="CG24" i="1"/>
  <c r="CF24" i="1"/>
  <c r="CD24" i="1"/>
  <c r="CC24" i="1"/>
  <c r="CB24" i="1"/>
  <c r="CA24" i="1"/>
  <c r="BZ24" i="1"/>
  <c r="BY24" i="1"/>
  <c r="BX24" i="1"/>
  <c r="BW24" i="1"/>
  <c r="BV24" i="1"/>
  <c r="BT24" i="1"/>
  <c r="BS24" i="1"/>
  <c r="BR24" i="1"/>
  <c r="CL24" i="1" s="1"/>
  <c r="BQ24" i="1"/>
  <c r="BO24" i="1"/>
  <c r="CJ24" i="1" s="1"/>
  <c r="BJ24" i="1"/>
  <c r="CE24" i="1" s="1"/>
  <c r="BE24" i="1"/>
  <c r="AZ24" i="1"/>
  <c r="BU24" i="1" s="1"/>
  <c r="AT24" i="1"/>
  <c r="AS24" i="1"/>
  <c r="AR24" i="1"/>
  <c r="AQ24" i="1"/>
  <c r="AO24" i="1"/>
  <c r="AN24" i="1"/>
  <c r="AM24" i="1"/>
  <c r="AL24" i="1"/>
  <c r="AK24" i="1"/>
  <c r="AU24" i="1" s="1"/>
  <c r="AF24" i="1"/>
  <c r="AP24" i="1" s="1"/>
  <c r="AA24" i="1"/>
  <c r="V24" i="1"/>
  <c r="Q24" i="1"/>
  <c r="L24" i="1"/>
  <c r="G24" i="1"/>
  <c r="CL23" i="1"/>
  <c r="CI23" i="1"/>
  <c r="CH23" i="1"/>
  <c r="CG23" i="1"/>
  <c r="CF23" i="1"/>
  <c r="CD23" i="1"/>
  <c r="CC23" i="1"/>
  <c r="CB23" i="1"/>
  <c r="CA23" i="1"/>
  <c r="BY23" i="1"/>
  <c r="CN23" i="1" s="1"/>
  <c r="BX23" i="1"/>
  <c r="BW23" i="1"/>
  <c r="BV23" i="1"/>
  <c r="BT23" i="1"/>
  <c r="BS23" i="1"/>
  <c r="CM23" i="1" s="1"/>
  <c r="BR23" i="1"/>
  <c r="BQ23" i="1"/>
  <c r="BO23" i="1"/>
  <c r="BJ23" i="1"/>
  <c r="BE23" i="1"/>
  <c r="AZ23" i="1"/>
  <c r="BU23" i="1" s="1"/>
  <c r="AT23" i="1"/>
  <c r="AS23" i="1"/>
  <c r="AR23" i="1"/>
  <c r="AQ23" i="1"/>
  <c r="AO23" i="1"/>
  <c r="AN23" i="1"/>
  <c r="AM23" i="1"/>
  <c r="AL23" i="1"/>
  <c r="AK23" i="1"/>
  <c r="AU23" i="1" s="1"/>
  <c r="AF23" i="1"/>
  <c r="AP23" i="1" s="1"/>
  <c r="AA23" i="1"/>
  <c r="V23" i="1"/>
  <c r="Q23" i="1"/>
  <c r="L23" i="1"/>
  <c r="G23" i="1"/>
  <c r="CM22" i="1"/>
  <c r="CJ22" i="1"/>
  <c r="CI22" i="1"/>
  <c r="CH22" i="1"/>
  <c r="CG22" i="1"/>
  <c r="CF22" i="1"/>
  <c r="CD22" i="1"/>
  <c r="CC22" i="1"/>
  <c r="CB22" i="1"/>
  <c r="CL22" i="1" s="1"/>
  <c r="CA22" i="1"/>
  <c r="BY22" i="1"/>
  <c r="BX22" i="1"/>
  <c r="BW22" i="1"/>
  <c r="BV22" i="1"/>
  <c r="BT22" i="1"/>
  <c r="CN22" i="1" s="1"/>
  <c r="BS22" i="1"/>
  <c r="BR22" i="1"/>
  <c r="BQ22" i="1"/>
  <c r="CK22" i="1" s="1"/>
  <c r="BO22" i="1"/>
  <c r="BJ22" i="1"/>
  <c r="CE22" i="1" s="1"/>
  <c r="BE22" i="1"/>
  <c r="AZ22" i="1"/>
  <c r="AU22" i="1"/>
  <c r="AT22" i="1"/>
  <c r="AS22" i="1"/>
  <c r="AR22" i="1"/>
  <c r="AQ22" i="1"/>
  <c r="AP22" i="1"/>
  <c r="AO22" i="1"/>
  <c r="AN22" i="1"/>
  <c r="AM22" i="1"/>
  <c r="AL22" i="1"/>
  <c r="AK22" i="1"/>
  <c r="AF22" i="1"/>
  <c r="AA22" i="1"/>
  <c r="V22" i="1"/>
  <c r="Q22" i="1"/>
  <c r="L22" i="1"/>
  <c r="G22" i="1"/>
  <c r="CC21" i="1"/>
  <c r="BX21" i="1"/>
  <c r="BW21" i="1"/>
  <c r="BN21" i="1"/>
  <c r="BM21" i="1"/>
  <c r="BL21" i="1"/>
  <c r="BK21" i="1"/>
  <c r="BI21" i="1"/>
  <c r="CD21" i="1" s="1"/>
  <c r="BH21" i="1"/>
  <c r="BG21" i="1"/>
  <c r="CB21" i="1" s="1"/>
  <c r="BF21" i="1"/>
  <c r="BE21" i="1"/>
  <c r="BZ21" i="1" s="1"/>
  <c r="BD21" i="1"/>
  <c r="BC21" i="1"/>
  <c r="BB21" i="1"/>
  <c r="BA21" i="1"/>
  <c r="AY21" i="1"/>
  <c r="BT21" i="1" s="1"/>
  <c r="AX21" i="1"/>
  <c r="BS21" i="1" s="1"/>
  <c r="AW21" i="1"/>
  <c r="BR21" i="1" s="1"/>
  <c r="AV21" i="1"/>
  <c r="BQ21" i="1" s="1"/>
  <c r="AT21" i="1"/>
  <c r="AP21" i="1"/>
  <c r="AO21" i="1"/>
  <c r="AL21" i="1"/>
  <c r="AJ21" i="1"/>
  <c r="AI21" i="1"/>
  <c r="AS21" i="1" s="1"/>
  <c r="AH21" i="1"/>
  <c r="AR21" i="1" s="1"/>
  <c r="AG21" i="1"/>
  <c r="AK21" i="1" s="1"/>
  <c r="AU21" i="1" s="1"/>
  <c r="AE21" i="1"/>
  <c r="AD21" i="1"/>
  <c r="AN21" i="1" s="1"/>
  <c r="AC21" i="1"/>
  <c r="AF21" i="1" s="1"/>
  <c r="AB21" i="1"/>
  <c r="Z21" i="1"/>
  <c r="Y21" i="1"/>
  <c r="AA21" i="1" s="1"/>
  <c r="X21" i="1"/>
  <c r="W21" i="1"/>
  <c r="U21" i="1"/>
  <c r="T21" i="1"/>
  <c r="S21" i="1"/>
  <c r="R21" i="1"/>
  <c r="V21" i="1" s="1"/>
  <c r="Q21" i="1"/>
  <c r="P21" i="1"/>
  <c r="O21" i="1"/>
  <c r="CH21" i="1" s="1"/>
  <c r="CM21" i="1" s="1"/>
  <c r="N21" i="1"/>
  <c r="M21" i="1"/>
  <c r="K21" i="1"/>
  <c r="J21" i="1"/>
  <c r="I21" i="1"/>
  <c r="H21" i="1"/>
  <c r="L21" i="1" s="1"/>
  <c r="F21" i="1"/>
  <c r="G21" i="1" s="1"/>
  <c r="E21" i="1"/>
  <c r="CM20" i="1"/>
  <c r="CI20" i="1"/>
  <c r="CH20" i="1"/>
  <c r="CG20" i="1"/>
  <c r="CF20" i="1"/>
  <c r="CE20" i="1"/>
  <c r="CD20" i="1"/>
  <c r="CN20" i="1" s="1"/>
  <c r="CC20" i="1"/>
  <c r="CB20" i="1"/>
  <c r="CA20" i="1"/>
  <c r="BY20" i="1"/>
  <c r="BX20" i="1"/>
  <c r="BW20" i="1"/>
  <c r="CL20" i="1" s="1"/>
  <c r="BV20" i="1"/>
  <c r="BT20" i="1"/>
  <c r="BS20" i="1"/>
  <c r="BR20" i="1"/>
  <c r="BQ20" i="1"/>
  <c r="BO20" i="1"/>
  <c r="BJ20" i="1"/>
  <c r="BE20" i="1"/>
  <c r="BZ20" i="1" s="1"/>
  <c r="AZ20" i="1"/>
  <c r="BU20" i="1" s="1"/>
  <c r="AT20" i="1"/>
  <c r="AS20" i="1"/>
  <c r="AR20" i="1"/>
  <c r="AQ20" i="1"/>
  <c r="AO20" i="1"/>
  <c r="AN20" i="1"/>
  <c r="AM20" i="1"/>
  <c r="AL20" i="1"/>
  <c r="AK20" i="1"/>
  <c r="AU20" i="1" s="1"/>
  <c r="AF20" i="1"/>
  <c r="AA20" i="1"/>
  <c r="V20" i="1"/>
  <c r="Q20" i="1"/>
  <c r="AP20" i="1" s="1"/>
  <c r="L20" i="1"/>
  <c r="G20" i="1"/>
  <c r="CK19" i="1"/>
  <c r="CI19" i="1"/>
  <c r="CH19" i="1"/>
  <c r="CG19" i="1"/>
  <c r="CF19" i="1"/>
  <c r="CD19" i="1"/>
  <c r="CC19" i="1"/>
  <c r="CB19" i="1"/>
  <c r="CL19" i="1" s="1"/>
  <c r="CA19" i="1"/>
  <c r="BY19" i="1"/>
  <c r="BX19" i="1"/>
  <c r="BW19" i="1"/>
  <c r="BV19" i="1"/>
  <c r="BT19" i="1"/>
  <c r="BS19" i="1"/>
  <c r="CM19" i="1" s="1"/>
  <c r="BR19" i="1"/>
  <c r="BQ19" i="1"/>
  <c r="BO19" i="1"/>
  <c r="BJ19" i="1"/>
  <c r="BE19" i="1"/>
  <c r="BZ19" i="1" s="1"/>
  <c r="AZ19" i="1"/>
  <c r="BU19" i="1" s="1"/>
  <c r="AT19" i="1"/>
  <c r="AS19" i="1"/>
  <c r="AR19" i="1"/>
  <c r="AQ19" i="1"/>
  <c r="AO19" i="1"/>
  <c r="AN19" i="1"/>
  <c r="AM19" i="1"/>
  <c r="AL19" i="1"/>
  <c r="AK19" i="1"/>
  <c r="AF19" i="1"/>
  <c r="AA19" i="1"/>
  <c r="V19" i="1"/>
  <c r="Q19" i="1"/>
  <c r="CJ19" i="1" s="1"/>
  <c r="L19" i="1"/>
  <c r="G19" i="1"/>
  <c r="CJ18" i="1"/>
  <c r="CI18" i="1"/>
  <c r="CH18" i="1"/>
  <c r="CG18" i="1"/>
  <c r="CF18" i="1"/>
  <c r="CD18" i="1"/>
  <c r="CC18" i="1"/>
  <c r="CB18" i="1"/>
  <c r="CA18" i="1"/>
  <c r="BZ18" i="1"/>
  <c r="CO18" i="1" s="1"/>
  <c r="BY18" i="1"/>
  <c r="BX18" i="1"/>
  <c r="BW18" i="1"/>
  <c r="BV18" i="1"/>
  <c r="BT18" i="1"/>
  <c r="BS18" i="1"/>
  <c r="CM18" i="1" s="1"/>
  <c r="BR18" i="1"/>
  <c r="BQ18" i="1"/>
  <c r="CK18" i="1" s="1"/>
  <c r="BO18" i="1"/>
  <c r="BJ18" i="1"/>
  <c r="CE18" i="1" s="1"/>
  <c r="BE18" i="1"/>
  <c r="AZ18" i="1"/>
  <c r="BU18" i="1" s="1"/>
  <c r="AU18" i="1"/>
  <c r="AT18" i="1"/>
  <c r="AS18" i="1"/>
  <c r="AR18" i="1"/>
  <c r="AQ18" i="1"/>
  <c r="AP18" i="1"/>
  <c r="AO18" i="1"/>
  <c r="AN18" i="1"/>
  <c r="AM18" i="1"/>
  <c r="AL18" i="1"/>
  <c r="AK18" i="1"/>
  <c r="AF18" i="1"/>
  <c r="AA18" i="1"/>
  <c r="V18" i="1"/>
  <c r="Q18" i="1"/>
  <c r="L18" i="1"/>
  <c r="G18" i="1"/>
  <c r="CH17" i="1"/>
  <c r="CG17" i="1"/>
  <c r="BY17" i="1"/>
  <c r="BX17" i="1"/>
  <c r="BR17" i="1"/>
  <c r="CL17" i="1" s="1"/>
  <c r="BQ17" i="1"/>
  <c r="BO17" i="1"/>
  <c r="CJ17" i="1" s="1"/>
  <c r="BN17" i="1"/>
  <c r="CI17" i="1" s="1"/>
  <c r="BM17" i="1"/>
  <c r="BL17" i="1"/>
  <c r="BK17" i="1"/>
  <c r="BI17" i="1"/>
  <c r="CD17" i="1" s="1"/>
  <c r="BH17" i="1"/>
  <c r="CC17" i="1" s="1"/>
  <c r="BG17" i="1"/>
  <c r="CB17" i="1" s="1"/>
  <c r="BF17" i="1"/>
  <c r="CA17" i="1" s="1"/>
  <c r="BD17" i="1"/>
  <c r="BC17" i="1"/>
  <c r="BB17" i="1"/>
  <c r="BW17" i="1" s="1"/>
  <c r="BA17" i="1"/>
  <c r="AY17" i="1"/>
  <c r="BT17" i="1" s="1"/>
  <c r="CN17" i="1" s="1"/>
  <c r="AX17" i="1"/>
  <c r="BS17" i="1" s="1"/>
  <c r="AW17" i="1"/>
  <c r="AV17" i="1"/>
  <c r="AR17" i="1"/>
  <c r="AQ17" i="1"/>
  <c r="AN17" i="1"/>
  <c r="AK17" i="1"/>
  <c r="AU17" i="1" s="1"/>
  <c r="AJ17" i="1"/>
  <c r="AT17" i="1" s="1"/>
  <c r="AI17" i="1"/>
  <c r="AS17" i="1" s="1"/>
  <c r="AH17" i="1"/>
  <c r="AG17" i="1"/>
  <c r="AE17" i="1"/>
  <c r="AO17" i="1" s="1"/>
  <c r="AD17" i="1"/>
  <c r="AC17" i="1"/>
  <c r="AM17" i="1" s="1"/>
  <c r="AB17" i="1"/>
  <c r="AA17" i="1"/>
  <c r="Z17" i="1"/>
  <c r="Y17" i="1"/>
  <c r="X17" i="1"/>
  <c r="W17" i="1"/>
  <c r="U17" i="1"/>
  <c r="T17" i="1"/>
  <c r="S17" i="1"/>
  <c r="R17" i="1"/>
  <c r="P17" i="1"/>
  <c r="O17" i="1"/>
  <c r="N17" i="1"/>
  <c r="M17" i="1"/>
  <c r="Q17" i="1" s="1"/>
  <c r="K17" i="1"/>
  <c r="L17" i="1" s="1"/>
  <c r="J17" i="1"/>
  <c r="I17" i="1"/>
  <c r="H17" i="1"/>
  <c r="F17" i="1"/>
  <c r="E17" i="1"/>
  <c r="G17" i="1" s="1"/>
  <c r="CI16" i="1"/>
  <c r="CH16" i="1"/>
  <c r="CG16" i="1"/>
  <c r="CF16" i="1"/>
  <c r="CD16" i="1"/>
  <c r="CC16" i="1"/>
  <c r="CB16" i="1"/>
  <c r="CA16" i="1"/>
  <c r="BZ16" i="1"/>
  <c r="CO16" i="1" s="1"/>
  <c r="BY16" i="1"/>
  <c r="CN16" i="1" s="1"/>
  <c r="BX16" i="1"/>
  <c r="BW16" i="1"/>
  <c r="BV16" i="1"/>
  <c r="BT16" i="1"/>
  <c r="BS16" i="1"/>
  <c r="BR16" i="1"/>
  <c r="CL16" i="1" s="1"/>
  <c r="BQ16" i="1"/>
  <c r="BO16" i="1"/>
  <c r="CJ16" i="1" s="1"/>
  <c r="BJ16" i="1"/>
  <c r="CE16" i="1" s="1"/>
  <c r="BE16" i="1"/>
  <c r="AZ16" i="1"/>
  <c r="BU16" i="1" s="1"/>
  <c r="AT16" i="1"/>
  <c r="AS16" i="1"/>
  <c r="AR16" i="1"/>
  <c r="AQ16" i="1"/>
  <c r="AO16" i="1"/>
  <c r="AN16" i="1"/>
  <c r="AM16" i="1"/>
  <c r="AL16" i="1"/>
  <c r="AK16" i="1"/>
  <c r="AU16" i="1" s="1"/>
  <c r="AF16" i="1"/>
  <c r="AP16" i="1" s="1"/>
  <c r="AA16" i="1"/>
  <c r="V16" i="1"/>
  <c r="Q16" i="1"/>
  <c r="L16" i="1"/>
  <c r="G16" i="1"/>
  <c r="CI15" i="1"/>
  <c r="CH15" i="1"/>
  <c r="CG15" i="1"/>
  <c r="CF15" i="1"/>
  <c r="CD15" i="1"/>
  <c r="CN15" i="1" s="1"/>
  <c r="CC15" i="1"/>
  <c r="CB15" i="1"/>
  <c r="CA15" i="1"/>
  <c r="BY15" i="1"/>
  <c r="BX15" i="1"/>
  <c r="CM15" i="1" s="1"/>
  <c r="BW15" i="1"/>
  <c r="CL15" i="1" s="1"/>
  <c r="BV15" i="1"/>
  <c r="BT15" i="1"/>
  <c r="BS15" i="1"/>
  <c r="BR15" i="1"/>
  <c r="BQ15" i="1"/>
  <c r="BO15" i="1"/>
  <c r="BJ15" i="1"/>
  <c r="CE15" i="1" s="1"/>
  <c r="BE15" i="1"/>
  <c r="AZ15" i="1"/>
  <c r="AT15" i="1"/>
  <c r="AS15" i="1"/>
  <c r="AR15" i="1"/>
  <c r="AQ15" i="1"/>
  <c r="AO15" i="1"/>
  <c r="AN15" i="1"/>
  <c r="AM15" i="1"/>
  <c r="AL15" i="1"/>
  <c r="AK15" i="1"/>
  <c r="AF15" i="1"/>
  <c r="AA15" i="1"/>
  <c r="V15" i="1"/>
  <c r="Q15" i="1"/>
  <c r="AP15" i="1" s="1"/>
  <c r="L15" i="1"/>
  <c r="G15" i="1"/>
  <c r="CL14" i="1"/>
  <c r="CI14" i="1"/>
  <c r="CH14" i="1"/>
  <c r="CG14" i="1"/>
  <c r="CF14" i="1"/>
  <c r="CD14" i="1"/>
  <c r="CC14" i="1"/>
  <c r="CB14" i="1"/>
  <c r="CA14" i="1"/>
  <c r="BY14" i="1"/>
  <c r="BX14" i="1"/>
  <c r="BW14" i="1"/>
  <c r="BV14" i="1"/>
  <c r="CK14" i="1" s="1"/>
  <c r="BT14" i="1"/>
  <c r="BS14" i="1"/>
  <c r="BR14" i="1"/>
  <c r="BQ14" i="1"/>
  <c r="BO14" i="1"/>
  <c r="BJ14" i="1"/>
  <c r="BE14" i="1"/>
  <c r="AZ14" i="1"/>
  <c r="BU14" i="1" s="1"/>
  <c r="AT14" i="1"/>
  <c r="AS14" i="1"/>
  <c r="AR14" i="1"/>
  <c r="AQ14" i="1"/>
  <c r="AO14" i="1"/>
  <c r="AN14" i="1"/>
  <c r="AM14" i="1"/>
  <c r="AL14" i="1"/>
  <c r="AK14" i="1"/>
  <c r="AF14" i="1"/>
  <c r="AA14" i="1"/>
  <c r="V14" i="1"/>
  <c r="Q14" i="1"/>
  <c r="AU14" i="1" s="1"/>
  <c r="L14" i="1"/>
  <c r="G14" i="1"/>
  <c r="CJ13" i="1"/>
  <c r="CI13" i="1"/>
  <c r="CH13" i="1"/>
  <c r="CG13" i="1"/>
  <c r="CF13" i="1"/>
  <c r="CD13" i="1"/>
  <c r="CC13" i="1"/>
  <c r="CB13" i="1"/>
  <c r="CA13" i="1"/>
  <c r="BZ13" i="1"/>
  <c r="BY13" i="1"/>
  <c r="BX13" i="1"/>
  <c r="BW13" i="1"/>
  <c r="BV13" i="1"/>
  <c r="BT13" i="1"/>
  <c r="CN13" i="1" s="1"/>
  <c r="BS13" i="1"/>
  <c r="CM13" i="1" s="1"/>
  <c r="BR13" i="1"/>
  <c r="BQ13" i="1"/>
  <c r="BO13" i="1"/>
  <c r="BJ13" i="1"/>
  <c r="CE13" i="1" s="1"/>
  <c r="BE13" i="1"/>
  <c r="AZ13" i="1"/>
  <c r="BU13" i="1" s="1"/>
  <c r="AT13" i="1"/>
  <c r="AS13" i="1"/>
  <c r="AR13" i="1"/>
  <c r="AQ13" i="1"/>
  <c r="AP13" i="1"/>
  <c r="AO13" i="1"/>
  <c r="AN13" i="1"/>
  <c r="AM13" i="1"/>
  <c r="AL13" i="1"/>
  <c r="AK13" i="1"/>
  <c r="AU13" i="1" s="1"/>
  <c r="AF13" i="1"/>
  <c r="AA13" i="1"/>
  <c r="V13" i="1"/>
  <c r="Q13" i="1"/>
  <c r="L13" i="1"/>
  <c r="G13" i="1"/>
  <c r="CN12" i="1"/>
  <c r="CI12" i="1"/>
  <c r="CH12" i="1"/>
  <c r="CG12" i="1"/>
  <c r="CF12" i="1"/>
  <c r="CD12" i="1"/>
  <c r="CC12" i="1"/>
  <c r="CB12" i="1"/>
  <c r="CA12" i="1"/>
  <c r="BZ12" i="1"/>
  <c r="BY12" i="1"/>
  <c r="BX12" i="1"/>
  <c r="BW12" i="1"/>
  <c r="BV12" i="1"/>
  <c r="BT12" i="1"/>
  <c r="BS12" i="1"/>
  <c r="CM12" i="1" s="1"/>
  <c r="BR12" i="1"/>
  <c r="CL12" i="1" s="1"/>
  <c r="BQ12" i="1"/>
  <c r="BO12" i="1"/>
  <c r="CJ12" i="1" s="1"/>
  <c r="BJ12" i="1"/>
  <c r="CE12" i="1" s="1"/>
  <c r="BE12" i="1"/>
  <c r="AZ12" i="1"/>
  <c r="BU12" i="1" s="1"/>
  <c r="CO12" i="1" s="1"/>
  <c r="AT12" i="1"/>
  <c r="AS12" i="1"/>
  <c r="AR12" i="1"/>
  <c r="AQ12" i="1"/>
  <c r="AO12" i="1"/>
  <c r="AN12" i="1"/>
  <c r="AM12" i="1"/>
  <c r="AL12" i="1"/>
  <c r="AK12" i="1"/>
  <c r="AU12" i="1" s="1"/>
  <c r="AF12" i="1"/>
  <c r="AP12" i="1" s="1"/>
  <c r="AA12" i="1"/>
  <c r="V12" i="1"/>
  <c r="Q12" i="1"/>
  <c r="L12" i="1"/>
  <c r="G12" i="1"/>
  <c r="CM11" i="1"/>
  <c r="CL11" i="1"/>
  <c r="CI11" i="1"/>
  <c r="CH11" i="1"/>
  <c r="CG11" i="1"/>
  <c r="CF11" i="1"/>
  <c r="CE11" i="1"/>
  <c r="CD11" i="1"/>
  <c r="CN11" i="1" s="1"/>
  <c r="CC11" i="1"/>
  <c r="CB11" i="1"/>
  <c r="CA11" i="1"/>
  <c r="BY11" i="1"/>
  <c r="BX11" i="1"/>
  <c r="BW11" i="1"/>
  <c r="BV11" i="1"/>
  <c r="BT11" i="1"/>
  <c r="BS11" i="1"/>
  <c r="BR11" i="1"/>
  <c r="BQ11" i="1"/>
  <c r="BO11" i="1"/>
  <c r="BJ11" i="1"/>
  <c r="BE11" i="1"/>
  <c r="BZ11" i="1" s="1"/>
  <c r="AZ11" i="1"/>
  <c r="BU11" i="1" s="1"/>
  <c r="AT11" i="1"/>
  <c r="AS11" i="1"/>
  <c r="AR11" i="1"/>
  <c r="AQ11" i="1"/>
  <c r="AO11" i="1"/>
  <c r="AN11" i="1"/>
  <c r="AM11" i="1"/>
  <c r="AL11" i="1"/>
  <c r="AK11" i="1"/>
  <c r="AU11" i="1" s="1"/>
  <c r="AF11" i="1"/>
  <c r="AA11" i="1"/>
  <c r="V11" i="1"/>
  <c r="Q11" i="1"/>
  <c r="AP11" i="1" s="1"/>
  <c r="L11" i="1"/>
  <c r="G11" i="1"/>
  <c r="CL10" i="1"/>
  <c r="CJ10" i="1"/>
  <c r="CI10" i="1"/>
  <c r="CH10" i="1"/>
  <c r="CG10" i="1"/>
  <c r="CF10" i="1"/>
  <c r="CD10" i="1"/>
  <c r="CC10" i="1"/>
  <c r="CB10" i="1"/>
  <c r="CA10" i="1"/>
  <c r="BY10" i="1"/>
  <c r="BX10" i="1"/>
  <c r="BW10" i="1"/>
  <c r="BV10" i="1"/>
  <c r="CK10" i="1" s="1"/>
  <c r="BT10" i="1"/>
  <c r="CN10" i="1" s="1"/>
  <c r="BS10" i="1"/>
  <c r="BR10" i="1"/>
  <c r="BQ10" i="1"/>
  <c r="BO10" i="1"/>
  <c r="BJ10" i="1"/>
  <c r="BE10" i="1"/>
  <c r="BZ10" i="1" s="1"/>
  <c r="AZ10" i="1"/>
  <c r="BU10" i="1" s="1"/>
  <c r="AU10" i="1"/>
  <c r="AT10" i="1"/>
  <c r="AS10" i="1"/>
  <c r="AR10" i="1"/>
  <c r="AQ10" i="1"/>
  <c r="AO10" i="1"/>
  <c r="AN10" i="1"/>
  <c r="AM10" i="1"/>
  <c r="AL10" i="1"/>
  <c r="AK10" i="1"/>
  <c r="AF10" i="1"/>
  <c r="AP10" i="1" s="1"/>
  <c r="AA10" i="1"/>
  <c r="V10" i="1"/>
  <c r="Q10" i="1"/>
  <c r="L10" i="1"/>
  <c r="G10" i="1"/>
  <c r="CI9" i="1"/>
  <c r="BT9" i="1"/>
  <c r="BR9" i="1"/>
  <c r="BN9" i="1"/>
  <c r="BM9" i="1"/>
  <c r="BL9" i="1"/>
  <c r="BK9" i="1"/>
  <c r="BI9" i="1"/>
  <c r="CD9" i="1" s="1"/>
  <c r="BH9" i="1"/>
  <c r="BG9" i="1"/>
  <c r="BF9" i="1"/>
  <c r="BD9" i="1"/>
  <c r="BY9" i="1" s="1"/>
  <c r="BC9" i="1"/>
  <c r="BB9" i="1"/>
  <c r="BA9" i="1"/>
  <c r="AY9" i="1"/>
  <c r="AX9" i="1"/>
  <c r="AW9" i="1"/>
  <c r="AV9" i="1"/>
  <c r="BQ9" i="1" s="1"/>
  <c r="AT9" i="1"/>
  <c r="AL9" i="1"/>
  <c r="AK9" i="1"/>
  <c r="AJ9" i="1"/>
  <c r="AI9" i="1"/>
  <c r="AH9" i="1"/>
  <c r="AR9" i="1" s="1"/>
  <c r="AG9" i="1"/>
  <c r="AQ9" i="1" s="1"/>
  <c r="AE9" i="1"/>
  <c r="AO9" i="1" s="1"/>
  <c r="AD9" i="1"/>
  <c r="AC9" i="1"/>
  <c r="AM9" i="1" s="1"/>
  <c r="AB9" i="1"/>
  <c r="AF9" i="1" s="1"/>
  <c r="Z9" i="1"/>
  <c r="Y9" i="1"/>
  <c r="X9" i="1"/>
  <c r="W9" i="1"/>
  <c r="AA9" i="1" s="1"/>
  <c r="U9" i="1"/>
  <c r="V9" i="1" s="1"/>
  <c r="T9" i="1"/>
  <c r="S9" i="1"/>
  <c r="R9" i="1"/>
  <c r="P9" i="1"/>
  <c r="O9" i="1"/>
  <c r="AS9" i="1" s="1"/>
  <c r="N9" i="1"/>
  <c r="CB9" i="1" s="1"/>
  <c r="M9" i="1"/>
  <c r="K9" i="1"/>
  <c r="J9" i="1"/>
  <c r="I9" i="1"/>
  <c r="H9" i="1"/>
  <c r="L9" i="1" s="1"/>
  <c r="F9" i="1"/>
  <c r="G9" i="1" s="1"/>
  <c r="E9" i="1"/>
  <c r="CJ8" i="1"/>
  <c r="CI8" i="1"/>
  <c r="CH8" i="1"/>
  <c r="CG8" i="1"/>
  <c r="CF8" i="1"/>
  <c r="CD8" i="1"/>
  <c r="CC8" i="1"/>
  <c r="CB8" i="1"/>
  <c r="CA8" i="1"/>
  <c r="BZ8" i="1"/>
  <c r="BY8" i="1"/>
  <c r="BX8" i="1"/>
  <c r="BW8" i="1"/>
  <c r="BV8" i="1"/>
  <c r="BT8" i="1"/>
  <c r="CN8" i="1" s="1"/>
  <c r="BS8" i="1"/>
  <c r="CM8" i="1" s="1"/>
  <c r="BR8" i="1"/>
  <c r="BQ8" i="1"/>
  <c r="CK8" i="1" s="1"/>
  <c r="BO8" i="1"/>
  <c r="BJ8" i="1"/>
  <c r="CE8" i="1" s="1"/>
  <c r="BE8" i="1"/>
  <c r="AZ8" i="1"/>
  <c r="BU8" i="1" s="1"/>
  <c r="AU8" i="1"/>
  <c r="AT8" i="1"/>
  <c r="AS8" i="1"/>
  <c r="AR8" i="1"/>
  <c r="AQ8" i="1"/>
  <c r="AP8" i="1"/>
  <c r="AO8" i="1"/>
  <c r="AN8" i="1"/>
  <c r="AM8" i="1"/>
  <c r="AL8" i="1"/>
  <c r="AK8" i="1"/>
  <c r="AF8" i="1"/>
  <c r="AA8" i="1"/>
  <c r="V8" i="1"/>
  <c r="Q8" i="1"/>
  <c r="L8" i="1"/>
  <c r="G8" i="1"/>
  <c r="CI7" i="1"/>
  <c r="CH7" i="1"/>
  <c r="CG7" i="1"/>
  <c r="CF7" i="1"/>
  <c r="CD7" i="1"/>
  <c r="CC7" i="1"/>
  <c r="CB7" i="1"/>
  <c r="CA7" i="1"/>
  <c r="BZ7" i="1"/>
  <c r="BY7" i="1"/>
  <c r="CN7" i="1" s="1"/>
  <c r="BX7" i="1"/>
  <c r="BW7" i="1"/>
  <c r="BV7" i="1"/>
  <c r="BT7" i="1"/>
  <c r="BS7" i="1"/>
  <c r="BR7" i="1"/>
  <c r="BQ7" i="1"/>
  <c r="BO7" i="1"/>
  <c r="CJ7" i="1" s="1"/>
  <c r="BJ7" i="1"/>
  <c r="CE7" i="1" s="1"/>
  <c r="CO7" i="1" s="1"/>
  <c r="BE7" i="1"/>
  <c r="AZ7" i="1"/>
  <c r="BU7" i="1" s="1"/>
  <c r="AT7" i="1"/>
  <c r="AS7" i="1"/>
  <c r="AR7" i="1"/>
  <c r="AQ7" i="1"/>
  <c r="AO7" i="1"/>
  <c r="AN7" i="1"/>
  <c r="AM7" i="1"/>
  <c r="AL7" i="1"/>
  <c r="AK7" i="1"/>
  <c r="AU7" i="1" s="1"/>
  <c r="AF7" i="1"/>
  <c r="AP7" i="1" s="1"/>
  <c r="AA7" i="1"/>
  <c r="V7" i="1"/>
  <c r="Q7" i="1"/>
  <c r="L7" i="1"/>
  <c r="G7" i="1"/>
  <c r="CM6" i="1"/>
  <c r="CI6" i="1"/>
  <c r="CH6" i="1"/>
  <c r="CG6" i="1"/>
  <c r="CF6" i="1"/>
  <c r="CE6" i="1"/>
  <c r="CD6" i="1"/>
  <c r="CN6" i="1" s="1"/>
  <c r="CC6" i="1"/>
  <c r="CB6" i="1"/>
  <c r="CA6" i="1"/>
  <c r="BY6" i="1"/>
  <c r="BX6" i="1"/>
  <c r="BW6" i="1"/>
  <c r="CL6" i="1" s="1"/>
  <c r="BV6" i="1"/>
  <c r="BT6" i="1"/>
  <c r="BS6" i="1"/>
  <c r="BR6" i="1"/>
  <c r="BQ6" i="1"/>
  <c r="BO6" i="1"/>
  <c r="BJ6" i="1"/>
  <c r="BE6" i="1"/>
  <c r="BZ6" i="1" s="1"/>
  <c r="AZ6" i="1"/>
  <c r="BU6" i="1" s="1"/>
  <c r="AT6" i="1"/>
  <c r="AS6" i="1"/>
  <c r="AR6" i="1"/>
  <c r="AQ6" i="1"/>
  <c r="AO6" i="1"/>
  <c r="AN6" i="1"/>
  <c r="AM6" i="1"/>
  <c r="AL6" i="1"/>
  <c r="AK6" i="1"/>
  <c r="AU6" i="1" s="1"/>
  <c r="AF6" i="1"/>
  <c r="AA6" i="1"/>
  <c r="V6" i="1"/>
  <c r="Q6" i="1"/>
  <c r="AP6" i="1" s="1"/>
  <c r="L6" i="1"/>
  <c r="G6" i="1"/>
  <c r="CK5" i="1"/>
  <c r="CJ5" i="1"/>
  <c r="CI5" i="1"/>
  <c r="CH5" i="1"/>
  <c r="CG5" i="1"/>
  <c r="CF5" i="1"/>
  <c r="CD5" i="1"/>
  <c r="CC5" i="1"/>
  <c r="CB5" i="1"/>
  <c r="CL5" i="1" s="1"/>
  <c r="CA5" i="1"/>
  <c r="BY5" i="1"/>
  <c r="BX5" i="1"/>
  <c r="BW5" i="1"/>
  <c r="BV5" i="1"/>
  <c r="BT5" i="1"/>
  <c r="BS5" i="1"/>
  <c r="CM5" i="1" s="1"/>
  <c r="BR5" i="1"/>
  <c r="BQ5" i="1"/>
  <c r="BO5" i="1"/>
  <c r="BJ5" i="1"/>
  <c r="BE5" i="1"/>
  <c r="BZ5" i="1" s="1"/>
  <c r="AZ5" i="1"/>
  <c r="BU5" i="1" s="1"/>
  <c r="AT5" i="1"/>
  <c r="AS5" i="1"/>
  <c r="AR5" i="1"/>
  <c r="AQ5" i="1"/>
  <c r="AO5" i="1"/>
  <c r="AN5" i="1"/>
  <c r="AM5" i="1"/>
  <c r="AL5" i="1"/>
  <c r="AK5" i="1"/>
  <c r="AF5" i="1"/>
  <c r="AP5" i="1" s="1"/>
  <c r="AA5" i="1"/>
  <c r="V5" i="1"/>
  <c r="Q5" i="1"/>
  <c r="AU5" i="1" s="1"/>
  <c r="L5" i="1"/>
  <c r="G5" i="1"/>
  <c r="CJ4" i="1"/>
  <c r="CI4" i="1"/>
  <c r="CH4" i="1"/>
  <c r="CG4" i="1"/>
  <c r="CF4" i="1"/>
  <c r="CD4" i="1"/>
  <c r="CC4" i="1"/>
  <c r="CB4" i="1"/>
  <c r="CA4" i="1"/>
  <c r="BZ4" i="1"/>
  <c r="CO4" i="1" s="1"/>
  <c r="BY4" i="1"/>
  <c r="BX4" i="1"/>
  <c r="BW4" i="1"/>
  <c r="BV4" i="1"/>
  <c r="BT4" i="1"/>
  <c r="BS4" i="1"/>
  <c r="CM4" i="1" s="1"/>
  <c r="BR4" i="1"/>
  <c r="BQ4" i="1"/>
  <c r="CK4" i="1" s="1"/>
  <c r="BO4" i="1"/>
  <c r="BJ4" i="1"/>
  <c r="CE4" i="1" s="1"/>
  <c r="BE4" i="1"/>
  <c r="AZ4" i="1"/>
  <c r="BU4" i="1" s="1"/>
  <c r="AU4" i="1"/>
  <c r="AT4" i="1"/>
  <c r="AS4" i="1"/>
  <c r="AR4" i="1"/>
  <c r="AQ4" i="1"/>
  <c r="AP4" i="1"/>
  <c r="AO4" i="1"/>
  <c r="AN4" i="1"/>
  <c r="AM4" i="1"/>
  <c r="AL4" i="1"/>
  <c r="AK4" i="1"/>
  <c r="AF4" i="1"/>
  <c r="AA4" i="1"/>
  <c r="V4" i="1"/>
  <c r="Q4" i="1"/>
  <c r="L4" i="1"/>
  <c r="G4" i="1"/>
  <c r="CH3" i="1"/>
  <c r="CG3" i="1"/>
  <c r="BY3" i="1"/>
  <c r="BX3" i="1"/>
  <c r="BR3" i="1"/>
  <c r="CL3" i="1" s="1"/>
  <c r="BQ3" i="1"/>
  <c r="BO3" i="1"/>
  <c r="CJ3" i="1" s="1"/>
  <c r="BN3" i="1"/>
  <c r="CI3" i="1" s="1"/>
  <c r="BM3" i="1"/>
  <c r="BL3" i="1"/>
  <c r="BK3" i="1"/>
  <c r="BI3" i="1"/>
  <c r="CD3" i="1" s="1"/>
  <c r="BH3" i="1"/>
  <c r="CC3" i="1" s="1"/>
  <c r="BG3" i="1"/>
  <c r="CB3" i="1" s="1"/>
  <c r="BF3" i="1"/>
  <c r="CA3" i="1" s="1"/>
  <c r="BD3" i="1"/>
  <c r="BC3" i="1"/>
  <c r="BB3" i="1"/>
  <c r="BW3" i="1" s="1"/>
  <c r="BA3" i="1"/>
  <c r="AY3" i="1"/>
  <c r="BT3" i="1" s="1"/>
  <c r="CN3" i="1" s="1"/>
  <c r="AX3" i="1"/>
  <c r="BS3" i="1" s="1"/>
  <c r="AW3" i="1"/>
  <c r="AV3" i="1"/>
  <c r="AR3" i="1"/>
  <c r="AQ3" i="1"/>
  <c r="AN3" i="1"/>
  <c r="AK3" i="1"/>
  <c r="AU3" i="1" s="1"/>
  <c r="AJ3" i="1"/>
  <c r="AT3" i="1" s="1"/>
  <c r="AI3" i="1"/>
  <c r="AS3" i="1" s="1"/>
  <c r="AH3" i="1"/>
  <c r="AG3" i="1"/>
  <c r="AE3" i="1"/>
  <c r="AO3" i="1" s="1"/>
  <c r="AD3" i="1"/>
  <c r="AC3" i="1"/>
  <c r="AM3" i="1" s="1"/>
  <c r="AB3" i="1"/>
  <c r="AA3" i="1"/>
  <c r="Z3" i="1"/>
  <c r="Y3" i="1"/>
  <c r="X3" i="1"/>
  <c r="W3" i="1"/>
  <c r="U3" i="1"/>
  <c r="T3" i="1"/>
  <c r="S3" i="1"/>
  <c r="R3" i="1"/>
  <c r="P3" i="1"/>
  <c r="O3" i="1"/>
  <c r="N3" i="1"/>
  <c r="M3" i="1"/>
  <c r="Q3" i="1" s="1"/>
  <c r="K3" i="1"/>
  <c r="L3" i="1" s="1"/>
  <c r="J3" i="1"/>
  <c r="I3" i="1"/>
  <c r="H3" i="1"/>
  <c r="F3" i="1"/>
  <c r="E3" i="1"/>
  <c r="G3" i="1" s="1"/>
  <c r="CN6" i="2" l="1"/>
  <c r="BU6" i="2"/>
  <c r="CL9" i="2"/>
  <c r="CM9" i="2"/>
  <c r="AP7" i="2"/>
  <c r="CE7" i="2"/>
  <c r="CJ7" i="2"/>
  <c r="CN9" i="2"/>
  <c r="CL8" i="2"/>
  <c r="AP9" i="2"/>
  <c r="CE9" i="2"/>
  <c r="CE5" i="2"/>
  <c r="AU6" i="2"/>
  <c r="AU9" i="2"/>
  <c r="CK3" i="2"/>
  <c r="CJ5" i="2"/>
  <c r="CM7" i="2"/>
  <c r="BE3" i="2"/>
  <c r="AM4" i="2"/>
  <c r="BT4" i="2"/>
  <c r="CN4" i="2" s="1"/>
  <c r="CB4" i="2"/>
  <c r="AS5" i="2"/>
  <c r="BR5" i="2"/>
  <c r="CL5" i="2" s="1"/>
  <c r="CH5" i="2"/>
  <c r="AQ6" i="2"/>
  <c r="BX6" i="2"/>
  <c r="CM6" i="2" s="1"/>
  <c r="CF6" i="2"/>
  <c r="Q7" i="2"/>
  <c r="AO7" i="2"/>
  <c r="BV7" i="2"/>
  <c r="CK7" i="2" s="1"/>
  <c r="CD7" i="2"/>
  <c r="AM8" i="2"/>
  <c r="CB8" i="2"/>
  <c r="CL12" i="2"/>
  <c r="CO15" i="2"/>
  <c r="CL17" i="2"/>
  <c r="CN18" i="2"/>
  <c r="AT21" i="2"/>
  <c r="CO26" i="2"/>
  <c r="AM29" i="2"/>
  <c r="CN36" i="2"/>
  <c r="CO38" i="2"/>
  <c r="AN4" i="2"/>
  <c r="CC4" i="2"/>
  <c r="CM4" i="2" s="1"/>
  <c r="AL5" i="2"/>
  <c r="AT5" i="2"/>
  <c r="BS5" i="2"/>
  <c r="CM5" i="2" s="1"/>
  <c r="CA5" i="2"/>
  <c r="CK5" i="2" s="1"/>
  <c r="CI5" i="2"/>
  <c r="AR6" i="2"/>
  <c r="BQ6" i="2"/>
  <c r="BY6" i="2"/>
  <c r="CG6" i="2"/>
  <c r="BW7" i="2"/>
  <c r="CL7" i="2" s="1"/>
  <c r="AN8" i="2"/>
  <c r="CC8" i="2"/>
  <c r="CM8" i="2" s="1"/>
  <c r="BS17" i="2"/>
  <c r="CM17" i="2" s="1"/>
  <c r="AZ17" i="2"/>
  <c r="BU17" i="2" s="1"/>
  <c r="CO20" i="2"/>
  <c r="BY21" i="2"/>
  <c r="CI21" i="2"/>
  <c r="CN23" i="2"/>
  <c r="CL27" i="2"/>
  <c r="CO28" i="2"/>
  <c r="CK29" i="2"/>
  <c r="AF37" i="2"/>
  <c r="AP37" i="2" s="1"/>
  <c r="AL37" i="2"/>
  <c r="CO40" i="2"/>
  <c r="CN42" i="2"/>
  <c r="CA17" i="2"/>
  <c r="BJ17" i="2"/>
  <c r="CE17" i="2" s="1"/>
  <c r="BO3" i="2"/>
  <c r="Q4" i="2"/>
  <c r="AP4" i="2" s="1"/>
  <c r="BV4" i="2"/>
  <c r="CK4" i="2" s="1"/>
  <c r="BT5" i="2"/>
  <c r="CN5" i="2" s="1"/>
  <c r="BR6" i="2"/>
  <c r="CL6" i="2" s="1"/>
  <c r="BX7" i="2"/>
  <c r="Q8" i="2"/>
  <c r="AP8" i="2" s="1"/>
  <c r="BV8" i="2"/>
  <c r="CK8" i="2" s="1"/>
  <c r="BE9" i="2"/>
  <c r="BZ9" i="2" s="1"/>
  <c r="CN17" i="2"/>
  <c r="BQ21" i="2"/>
  <c r="CK21" i="2" s="1"/>
  <c r="AZ21" i="2"/>
  <c r="CO25" i="2"/>
  <c r="Q29" i="2"/>
  <c r="BR29" i="2"/>
  <c r="CB29" i="2"/>
  <c r="CM29" i="2"/>
  <c r="CM30" i="2"/>
  <c r="I74" i="2"/>
  <c r="S74" i="2"/>
  <c r="BN74" i="2"/>
  <c r="AP29" i="2"/>
  <c r="AZ3" i="2"/>
  <c r="BW4" i="2"/>
  <c r="CL4" i="2" s="1"/>
  <c r="AN5" i="2"/>
  <c r="CC5" i="2"/>
  <c r="AL6" i="2"/>
  <c r="CA6" i="2"/>
  <c r="BY7" i="2"/>
  <c r="CN7" i="2" s="1"/>
  <c r="BW8" i="2"/>
  <c r="CK10" i="2"/>
  <c r="CN14" i="2"/>
  <c r="AK17" i="2"/>
  <c r="AU17" i="2" s="1"/>
  <c r="AR17" i="2"/>
  <c r="AO21" i="2"/>
  <c r="CL21" i="2"/>
  <c r="CN27" i="2"/>
  <c r="AU29" i="2"/>
  <c r="CK37" i="2"/>
  <c r="CO39" i="2"/>
  <c r="AQ4" i="2"/>
  <c r="CF4" i="2"/>
  <c r="Q5" i="2"/>
  <c r="AU5" i="2" s="1"/>
  <c r="AO5" i="2"/>
  <c r="AM6" i="2"/>
  <c r="AS7" i="2"/>
  <c r="CH7" i="2"/>
  <c r="AQ8" i="2"/>
  <c r="CF8" i="2"/>
  <c r="AQ9" i="2"/>
  <c r="BO9" i="2"/>
  <c r="CJ9" i="2" s="1"/>
  <c r="CO12" i="2"/>
  <c r="CN19" i="2"/>
  <c r="Q21" i="2"/>
  <c r="AP21" i="2" s="1"/>
  <c r="CM21" i="2"/>
  <c r="CL26" i="2"/>
  <c r="AR29" i="2"/>
  <c r="CO31" i="2"/>
  <c r="CL32" i="2"/>
  <c r="CO33" i="2"/>
  <c r="U74" i="2"/>
  <c r="N3" i="2"/>
  <c r="BW3" i="2" s="1"/>
  <c r="BJ3" i="2"/>
  <c r="AR4" i="2"/>
  <c r="CG4" i="2"/>
  <c r="AN6" i="2"/>
  <c r="AL7" i="2"/>
  <c r="AT7" i="2"/>
  <c r="CI7" i="2"/>
  <c r="AR8" i="2"/>
  <c r="CG8" i="2"/>
  <c r="AZ9" i="2"/>
  <c r="BU9" i="2" s="1"/>
  <c r="CM10" i="2"/>
  <c r="CO14" i="2"/>
  <c r="CM15" i="2"/>
  <c r="AU21" i="2"/>
  <c r="BT21" i="2"/>
  <c r="CN21" i="2" s="1"/>
  <c r="CD21" i="2"/>
  <c r="CE29" i="2"/>
  <c r="CO30" i="2"/>
  <c r="CO35" i="2"/>
  <c r="CN37" i="2"/>
  <c r="CK17" i="2"/>
  <c r="CO34" i="2"/>
  <c r="Q6" i="2"/>
  <c r="AP6" i="2" s="1"/>
  <c r="CO11" i="2"/>
  <c r="CO16" i="2"/>
  <c r="CO19" i="2"/>
  <c r="CM20" i="2"/>
  <c r="CO22" i="2"/>
  <c r="BW29" i="2"/>
  <c r="CN32" i="2"/>
  <c r="CN38" i="2"/>
  <c r="CK42" i="2"/>
  <c r="CO42" i="2"/>
  <c r="AC74" i="2"/>
  <c r="BO17" i="2"/>
  <c r="CJ17" i="2" s="1"/>
  <c r="BE21" i="2"/>
  <c r="AK37" i="2"/>
  <c r="AU37" i="2" s="1"/>
  <c r="CE43" i="2"/>
  <c r="CO43" i="2" s="1"/>
  <c r="CO45" i="2"/>
  <c r="CL52" i="2"/>
  <c r="CK52" i="2"/>
  <c r="AA56" i="2"/>
  <c r="AK56" i="2"/>
  <c r="AU56" i="2" s="1"/>
  <c r="BQ60" i="2"/>
  <c r="CK60" i="2" s="1"/>
  <c r="AZ60" i="2"/>
  <c r="BU60" i="2" s="1"/>
  <c r="CL61" i="2"/>
  <c r="CA66" i="2"/>
  <c r="CK66" i="2" s="1"/>
  <c r="BJ66" i="2"/>
  <c r="CE66" i="2" s="1"/>
  <c r="CO66" i="2" s="1"/>
  <c r="J74" i="2"/>
  <c r="T74" i="2"/>
  <c r="BQ69" i="2"/>
  <c r="BF74" i="2"/>
  <c r="CA74" i="2" s="1"/>
  <c r="CL69" i="2"/>
  <c r="BZ71" i="2"/>
  <c r="BJ37" i="2"/>
  <c r="CE37" i="2" s="1"/>
  <c r="CJ43" i="2"/>
  <c r="CL47" i="2"/>
  <c r="CO48" i="2"/>
  <c r="CM52" i="2"/>
  <c r="CL55" i="2"/>
  <c r="AO60" i="2"/>
  <c r="CL60" i="2"/>
  <c r="CO64" i="2"/>
  <c r="BS66" i="2"/>
  <c r="CM66" i="2" s="1"/>
  <c r="AZ66" i="2"/>
  <c r="BU66" i="2" s="1"/>
  <c r="CM67" i="2"/>
  <c r="K74" i="2"/>
  <c r="AW74" i="2"/>
  <c r="BG74" i="2"/>
  <c r="CM72" i="2"/>
  <c r="AQ21" i="2"/>
  <c r="BO21" i="2"/>
  <c r="BE29" i="2"/>
  <c r="BZ29" i="2" s="1"/>
  <c r="CO44" i="2"/>
  <c r="CK46" i="2"/>
  <c r="CA46" i="2"/>
  <c r="BJ46" i="2"/>
  <c r="CE46" i="2" s="1"/>
  <c r="CO50" i="2"/>
  <c r="CN52" i="2"/>
  <c r="CN53" i="2"/>
  <c r="CN58" i="2"/>
  <c r="Q60" i="2"/>
  <c r="AP60" i="2" s="1"/>
  <c r="AA60" i="2"/>
  <c r="CM60" i="2"/>
  <c r="AK66" i="2"/>
  <c r="AU66" i="2" s="1"/>
  <c r="CN66" i="2"/>
  <c r="AQ69" i="2"/>
  <c r="AX74" i="2"/>
  <c r="BS74" i="2" s="1"/>
  <c r="BH74" i="2"/>
  <c r="CJ71" i="2"/>
  <c r="AL17" i="2"/>
  <c r="CL43" i="2"/>
  <c r="CL46" i="2"/>
  <c r="CN47" i="2"/>
  <c r="CL51" i="2"/>
  <c r="AU60" i="2"/>
  <c r="BT60" i="2"/>
  <c r="CN60" i="2" s="1"/>
  <c r="CD60" i="2"/>
  <c r="CN63" i="2"/>
  <c r="CL65" i="2"/>
  <c r="AA66" i="2"/>
  <c r="AA74" i="2" s="1"/>
  <c r="CO68" i="2"/>
  <c r="N74" i="2"/>
  <c r="X74" i="2"/>
  <c r="AY74" i="2"/>
  <c r="CK71" i="2"/>
  <c r="CO73" i="2"/>
  <c r="BI74" i="2"/>
  <c r="AQ29" i="2"/>
  <c r="BO29" i="2"/>
  <c r="CJ29" i="2" s="1"/>
  <c r="BE37" i="2"/>
  <c r="BZ37" i="2" s="1"/>
  <c r="CO37" i="2" s="1"/>
  <c r="AU43" i="2"/>
  <c r="CL45" i="2"/>
  <c r="AA46" i="2"/>
  <c r="CO49" i="2"/>
  <c r="CO53" i="2"/>
  <c r="CM54" i="2"/>
  <c r="L56" i="2"/>
  <c r="BZ56" i="2"/>
  <c r="CL57" i="2"/>
  <c r="CO58" i="2"/>
  <c r="CM59" i="2"/>
  <c r="CO61" i="2"/>
  <c r="CO67" i="2"/>
  <c r="O74" i="2"/>
  <c r="Y74" i="2"/>
  <c r="AI74" i="2"/>
  <c r="AS74" i="2" s="1"/>
  <c r="BV69" i="2"/>
  <c r="BE69" i="2"/>
  <c r="CF69" i="2"/>
  <c r="CO70" i="2"/>
  <c r="CO72" i="2"/>
  <c r="BJ21" i="2"/>
  <c r="AZ29" i="2"/>
  <c r="BU29" i="2" s="1"/>
  <c r="AK46" i="2"/>
  <c r="AU46" i="2" s="1"/>
  <c r="CN46" i="2"/>
  <c r="CO55" i="2"/>
  <c r="CA56" i="2"/>
  <c r="CK56" i="2" s="1"/>
  <c r="BJ56" i="2"/>
  <c r="CE56" i="2" s="1"/>
  <c r="CO63" i="2"/>
  <c r="P74" i="2"/>
  <c r="Z74" i="2"/>
  <c r="AJ74" i="2"/>
  <c r="AT74" i="2" s="1"/>
  <c r="M74" i="2"/>
  <c r="BV74" i="2" s="1"/>
  <c r="BE17" i="2"/>
  <c r="BZ17" i="2" s="1"/>
  <c r="BO37" i="2"/>
  <c r="CJ37" i="2" s="1"/>
  <c r="AF52" i="2"/>
  <c r="AP52" i="2" s="1"/>
  <c r="AL52" i="2"/>
  <c r="AT60" i="2"/>
  <c r="L74" i="2"/>
  <c r="R74" i="2"/>
  <c r="AB74" i="2"/>
  <c r="AL74" i="2" s="1"/>
  <c r="BM74" i="2"/>
  <c r="AQ46" i="2"/>
  <c r="BO46" i="2"/>
  <c r="CJ46" i="2" s="1"/>
  <c r="CO46" i="2" s="1"/>
  <c r="AK52" i="2"/>
  <c r="AU52" i="2" s="1"/>
  <c r="AQ56" i="2"/>
  <c r="BO56" i="2"/>
  <c r="CJ56" i="2" s="1"/>
  <c r="BE60" i="2"/>
  <c r="BZ60" i="2" s="1"/>
  <c r="AQ66" i="2"/>
  <c r="BO66" i="2"/>
  <c r="CJ66" i="2" s="1"/>
  <c r="V69" i="2"/>
  <c r="V74" i="2" s="1"/>
  <c r="AL69" i="2"/>
  <c r="AT69" i="2"/>
  <c r="BJ69" i="2"/>
  <c r="BS69" i="2"/>
  <c r="CM69" i="2" s="1"/>
  <c r="CA69" i="2"/>
  <c r="CI69" i="2"/>
  <c r="F74" i="2"/>
  <c r="G74" i="2" s="1"/>
  <c r="AD74" i="2"/>
  <c r="AN74" i="2" s="1"/>
  <c r="BB74" i="2"/>
  <c r="AZ46" i="2"/>
  <c r="BU46" i="2" s="1"/>
  <c r="BY46" i="2"/>
  <c r="BJ52" i="2"/>
  <c r="CE52" i="2" s="1"/>
  <c r="AZ56" i="2"/>
  <c r="BU56" i="2" s="1"/>
  <c r="BY56" i="2"/>
  <c r="CN56" i="2" s="1"/>
  <c r="BT69" i="2"/>
  <c r="CB69" i="2"/>
  <c r="W74" i="2"/>
  <c r="AE74" i="2"/>
  <c r="AO74" i="2" s="1"/>
  <c r="BC74" i="2"/>
  <c r="BX74" i="2" s="1"/>
  <c r="BK74" i="2"/>
  <c r="CF74" i="2" s="1"/>
  <c r="AQ60" i="2"/>
  <c r="BO60" i="2"/>
  <c r="AF69" i="2"/>
  <c r="CC69" i="2"/>
  <c r="H74" i="2"/>
  <c r="AV74" i="2"/>
  <c r="BQ74" i="2" s="1"/>
  <c r="BD74" i="2"/>
  <c r="BY74" i="2" s="1"/>
  <c r="BL74" i="2"/>
  <c r="CG74" i="2" s="1"/>
  <c r="AL56" i="2"/>
  <c r="AL66" i="2"/>
  <c r="AG74" i="2"/>
  <c r="AQ74" i="2" s="1"/>
  <c r="BE52" i="2"/>
  <c r="BZ52" i="2" s="1"/>
  <c r="AH74" i="2"/>
  <c r="BJ60" i="2"/>
  <c r="BO69" i="2"/>
  <c r="BO52" i="2"/>
  <c r="CJ52" i="2" s="1"/>
  <c r="AZ69" i="2"/>
  <c r="AF17" i="1"/>
  <c r="AP17" i="1" s="1"/>
  <c r="AL17" i="1"/>
  <c r="CH9" i="1"/>
  <c r="BU15" i="1"/>
  <c r="CO61" i="1"/>
  <c r="V3" i="1"/>
  <c r="CM3" i="1"/>
  <c r="CL4" i="1"/>
  <c r="CN5" i="1"/>
  <c r="CM10" i="1"/>
  <c r="BZ14" i="1"/>
  <c r="CO14" i="1" s="1"/>
  <c r="BZ15" i="1"/>
  <c r="V17" i="1"/>
  <c r="CM17" i="1"/>
  <c r="CL18" i="1"/>
  <c r="AU19" i="1"/>
  <c r="CN19" i="1"/>
  <c r="AQ21" i="1"/>
  <c r="BU26" i="1"/>
  <c r="BV29" i="1"/>
  <c r="BE29" i="1"/>
  <c r="BZ29" i="1" s="1"/>
  <c r="BJ29" i="1"/>
  <c r="CE29" i="1" s="1"/>
  <c r="AF37" i="1"/>
  <c r="AP37" i="1" s="1"/>
  <c r="AL37" i="1"/>
  <c r="CN66" i="1"/>
  <c r="O74" i="1"/>
  <c r="AY74" i="1"/>
  <c r="BG74" i="1"/>
  <c r="CE14" i="1"/>
  <c r="AI74" i="1"/>
  <c r="AS74" i="1" s="1"/>
  <c r="BH74" i="1"/>
  <c r="CC74" i="1" s="1"/>
  <c r="CC69" i="1"/>
  <c r="CJ15" i="1"/>
  <c r="CN18" i="1"/>
  <c r="CI21" i="1"/>
  <c r="BO21" i="1"/>
  <c r="CJ21" i="1" s="1"/>
  <c r="CJ36" i="1"/>
  <c r="CN9" i="1"/>
  <c r="CK15" i="1"/>
  <c r="BV17" i="1"/>
  <c r="CK17" i="1" s="1"/>
  <c r="BE17" i="1"/>
  <c r="BZ17" i="1" s="1"/>
  <c r="CE19" i="1"/>
  <c r="CA21" i="1"/>
  <c r="BJ21" i="1"/>
  <c r="CE21" i="1" s="1"/>
  <c r="AU26" i="1"/>
  <c r="AP26" i="1"/>
  <c r="CJ26" i="1"/>
  <c r="CO26" i="1" s="1"/>
  <c r="AL66" i="1"/>
  <c r="AZ3" i="1"/>
  <c r="BU3" i="1" s="1"/>
  <c r="AZ17" i="1"/>
  <c r="BU17" i="1" s="1"/>
  <c r="CO20" i="1"/>
  <c r="AN52" i="1"/>
  <c r="AF52" i="1"/>
  <c r="AP52" i="1" s="1"/>
  <c r="BV3" i="1"/>
  <c r="CK3" i="1" s="1"/>
  <c r="BE3" i="1"/>
  <c r="BZ3" i="1" s="1"/>
  <c r="CO8" i="1"/>
  <c r="BV9" i="1"/>
  <c r="BE9" i="1"/>
  <c r="BJ9" i="1"/>
  <c r="CE9" i="1" s="1"/>
  <c r="CE10" i="1"/>
  <c r="CO10" i="1" s="1"/>
  <c r="AP14" i="1"/>
  <c r="CJ14" i="1"/>
  <c r="CM16" i="1"/>
  <c r="CJ20" i="1"/>
  <c r="AF3" i="1"/>
  <c r="AP3" i="1" s="1"/>
  <c r="AL3" i="1"/>
  <c r="BS9" i="1"/>
  <c r="CE5" i="1"/>
  <c r="CO5" i="1" s="1"/>
  <c r="CJ6" i="1"/>
  <c r="CO6" i="1" s="1"/>
  <c r="CK7" i="1"/>
  <c r="AN9" i="1"/>
  <c r="CF3" i="1"/>
  <c r="CK6" i="1"/>
  <c r="CL7" i="1"/>
  <c r="CL8" i="1"/>
  <c r="Q9" i="1"/>
  <c r="AU9" i="1" s="1"/>
  <c r="BW9" i="1"/>
  <c r="CL9" i="1" s="1"/>
  <c r="CF9" i="1"/>
  <c r="BO9" i="1"/>
  <c r="CJ9" i="1" s="1"/>
  <c r="CA9" i="1"/>
  <c r="CK9" i="1" s="1"/>
  <c r="CJ11" i="1"/>
  <c r="CO11" i="1" s="1"/>
  <c r="CK12" i="1"/>
  <c r="CK13" i="1"/>
  <c r="CO13" i="1"/>
  <c r="CM14" i="1"/>
  <c r="AU15" i="1"/>
  <c r="CF17" i="1"/>
  <c r="CK20" i="1"/>
  <c r="CK37" i="1"/>
  <c r="CF52" i="1"/>
  <c r="BO52" i="1"/>
  <c r="CJ52" i="1" s="1"/>
  <c r="BS60" i="1"/>
  <c r="CM60" i="1" s="1"/>
  <c r="AZ60" i="1"/>
  <c r="BU60" i="1" s="1"/>
  <c r="F74" i="1"/>
  <c r="G74" i="1" s="1"/>
  <c r="BU69" i="1"/>
  <c r="CN4" i="1"/>
  <c r="AP9" i="1"/>
  <c r="CC9" i="1"/>
  <c r="CK16" i="1"/>
  <c r="CO19" i="1"/>
  <c r="CO21" i="1"/>
  <c r="CL55" i="1"/>
  <c r="CM7" i="1"/>
  <c r="BX9" i="1"/>
  <c r="CG9" i="1"/>
  <c r="CK11" i="1"/>
  <c r="CL13" i="1"/>
  <c r="CN14" i="1"/>
  <c r="AP19" i="1"/>
  <c r="CM29" i="1"/>
  <c r="AT46" i="1"/>
  <c r="AK46" i="1"/>
  <c r="AU46" i="1" s="1"/>
  <c r="CC46" i="1"/>
  <c r="CM46" i="1" s="1"/>
  <c r="BJ46" i="1"/>
  <c r="CE46" i="1" s="1"/>
  <c r="AF56" i="1"/>
  <c r="AP56" i="1" s="1"/>
  <c r="CL65" i="1"/>
  <c r="CO28" i="1"/>
  <c r="BZ31" i="1"/>
  <c r="CO31" i="1" s="1"/>
  <c r="CL59" i="1"/>
  <c r="Z74" i="1"/>
  <c r="BJ3" i="1"/>
  <c r="CE3" i="1" s="1"/>
  <c r="BJ17" i="1"/>
  <c r="CE17" i="1" s="1"/>
  <c r="AZ21" i="1"/>
  <c r="BU21" i="1" s="1"/>
  <c r="BU22" i="1"/>
  <c r="BZ23" i="1"/>
  <c r="CG29" i="1"/>
  <c r="CA29" i="1"/>
  <c r="AP31" i="1"/>
  <c r="CJ32" i="1"/>
  <c r="CO32" i="1" s="1"/>
  <c r="CK33" i="1"/>
  <c r="CO33" i="1"/>
  <c r="CM34" i="1"/>
  <c r="AP36" i="1"/>
  <c r="CJ39" i="1"/>
  <c r="CO39" i="1" s="1"/>
  <c r="BS52" i="1"/>
  <c r="CC52" i="1"/>
  <c r="AU52" i="1"/>
  <c r="CO54" i="1"/>
  <c r="I74" i="1"/>
  <c r="R74" i="1"/>
  <c r="AB74" i="1"/>
  <c r="AL69" i="1"/>
  <c r="AF69" i="1"/>
  <c r="CO71" i="1"/>
  <c r="BV21" i="1"/>
  <c r="CK21" i="1" s="1"/>
  <c r="BZ22" i="1"/>
  <c r="CO22" i="1" s="1"/>
  <c r="CE23" i="1"/>
  <c r="CK24" i="1"/>
  <c r="CO24" i="1"/>
  <c r="CO25" i="1"/>
  <c r="CK26" i="1"/>
  <c r="CM28" i="1"/>
  <c r="CF29" i="1"/>
  <c r="CK32" i="1"/>
  <c r="AU36" i="1"/>
  <c r="CJ45" i="1"/>
  <c r="BT52" i="1"/>
  <c r="CF60" i="1"/>
  <c r="BO60" i="1"/>
  <c r="CJ60" i="1" s="1"/>
  <c r="J74" i="1"/>
  <c r="CJ23" i="1"/>
  <c r="AP27" i="1"/>
  <c r="CM27" i="1"/>
  <c r="BQ29" i="1"/>
  <c r="CK29" i="1" s="1"/>
  <c r="CO30" i="1"/>
  <c r="CM33" i="1"/>
  <c r="BU36" i="1"/>
  <c r="AK37" i="1"/>
  <c r="AU37" i="1" s="1"/>
  <c r="CN61" i="1"/>
  <c r="CK69" i="1"/>
  <c r="AM21" i="1"/>
  <c r="CF21" i="1"/>
  <c r="CK23" i="1"/>
  <c r="CM24" i="1"/>
  <c r="AU27" i="1"/>
  <c r="L29" i="1"/>
  <c r="CB29" i="1"/>
  <c r="CL29" i="1" s="1"/>
  <c r="CJ29" i="1"/>
  <c r="CM30" i="1"/>
  <c r="AP32" i="1"/>
  <c r="BU35" i="1"/>
  <c r="BZ36" i="1"/>
  <c r="BZ37" i="1"/>
  <c r="CO44" i="1"/>
  <c r="BZ46" i="1"/>
  <c r="CN47" i="1"/>
  <c r="CO51" i="1"/>
  <c r="CD52" i="1"/>
  <c r="BZ58" i="1"/>
  <c r="CO58" i="1" s="1"/>
  <c r="BZ66" i="1"/>
  <c r="AW74" i="1"/>
  <c r="BR69" i="1"/>
  <c r="CL69" i="1" s="1"/>
  <c r="BE74" i="1"/>
  <c r="BZ69" i="1"/>
  <c r="BN74" i="1"/>
  <c r="AQ29" i="1"/>
  <c r="CO34" i="1"/>
  <c r="AJ74" i="1"/>
  <c r="AT69" i="1"/>
  <c r="AZ9" i="1"/>
  <c r="BU9" i="1" s="1"/>
  <c r="BY21" i="1"/>
  <c r="CN21" i="1" s="1"/>
  <c r="CG21" i="1"/>
  <c r="CL21" i="1" s="1"/>
  <c r="BU27" i="1"/>
  <c r="CO27" i="1" s="1"/>
  <c r="AZ29" i="1"/>
  <c r="BU29" i="1" s="1"/>
  <c r="AU32" i="1"/>
  <c r="BZ35" i="1"/>
  <c r="CO35" i="1" s="1"/>
  <c r="CE36" i="1"/>
  <c r="CM37" i="1"/>
  <c r="BO37" i="1"/>
  <c r="CJ37" i="1" s="1"/>
  <c r="CK38" i="1"/>
  <c r="CO38" i="1"/>
  <c r="CN41" i="1"/>
  <c r="CO42" i="1"/>
  <c r="AP45" i="1"/>
  <c r="CM45" i="1"/>
  <c r="BQ46" i="1"/>
  <c r="CK46" i="1" s="1"/>
  <c r="CL54" i="1"/>
  <c r="CM66" i="1"/>
  <c r="AQ69" i="1"/>
  <c r="AK69" i="1"/>
  <c r="AG66" i="1"/>
  <c r="CN43" i="1"/>
  <c r="CK45" i="1"/>
  <c r="AF46" i="1"/>
  <c r="AP46" i="1" s="1"/>
  <c r="CN50" i="1"/>
  <c r="AO52" i="1"/>
  <c r="CE52" i="1"/>
  <c r="CJ55" i="1"/>
  <c r="CO55" i="1" s="1"/>
  <c r="CO57" i="1"/>
  <c r="AL60" i="1"/>
  <c r="AF60" i="1"/>
  <c r="CM62" i="1"/>
  <c r="CJ65" i="1"/>
  <c r="CO65" i="1" s="1"/>
  <c r="CN65" i="1"/>
  <c r="CJ66" i="1"/>
  <c r="CE68" i="1"/>
  <c r="CO68" i="1" s="1"/>
  <c r="H74" i="1"/>
  <c r="P74" i="1"/>
  <c r="BT69" i="1"/>
  <c r="Y74" i="1"/>
  <c r="AH74" i="1"/>
  <c r="AX74" i="1"/>
  <c r="BS74" i="1" s="1"/>
  <c r="BF74" i="1"/>
  <c r="CO72" i="1"/>
  <c r="AU45" i="1"/>
  <c r="CN45" i="1"/>
  <c r="BY52" i="1"/>
  <c r="CH52" i="1"/>
  <c r="BU56" i="1"/>
  <c r="BZ60" i="1"/>
  <c r="CO62" i="1"/>
  <c r="BQ66" i="1"/>
  <c r="CO67" i="1"/>
  <c r="K74" i="1"/>
  <c r="S74" i="1"/>
  <c r="BA74" i="1"/>
  <c r="BI74" i="1"/>
  <c r="BU73" i="1"/>
  <c r="BJ37" i="1"/>
  <c r="CE37" i="1" s="1"/>
  <c r="CJ43" i="1"/>
  <c r="CO43" i="1" s="1"/>
  <c r="BU45" i="1"/>
  <c r="G46" i="1"/>
  <c r="AA46" i="1"/>
  <c r="AQ46" i="1"/>
  <c r="BW46" i="1"/>
  <c r="CL46" i="1" s="1"/>
  <c r="CM47" i="1"/>
  <c r="AU48" i="1"/>
  <c r="CJ50" i="1"/>
  <c r="CO50" i="1" s="1"/>
  <c r="AS52" i="1"/>
  <c r="BQ52" i="1"/>
  <c r="CK52" i="1" s="1"/>
  <c r="AZ52" i="1"/>
  <c r="BU52" i="1" s="1"/>
  <c r="AU55" i="1"/>
  <c r="CN55" i="1"/>
  <c r="CM56" i="1"/>
  <c r="AK60" i="1"/>
  <c r="AU60" i="1" s="1"/>
  <c r="AU65" i="1"/>
  <c r="BV66" i="1"/>
  <c r="CL67" i="1"/>
  <c r="AP68" i="1"/>
  <c r="L69" i="1"/>
  <c r="L74" i="1" s="1"/>
  <c r="T74" i="1"/>
  <c r="AD74" i="1"/>
  <c r="AN74" i="1" s="1"/>
  <c r="AO69" i="1"/>
  <c r="CD69" i="1"/>
  <c r="CK70" i="1"/>
  <c r="BZ73" i="1"/>
  <c r="AU39" i="1"/>
  <c r="CJ41" i="1"/>
  <c r="CO41" i="1" s="1"/>
  <c r="CF46" i="1"/>
  <c r="CN48" i="1"/>
  <c r="CK49" i="1"/>
  <c r="CK50" i="1"/>
  <c r="CL51" i="1"/>
  <c r="BR52" i="1"/>
  <c r="CL52" i="1" s="1"/>
  <c r="CJ53" i="1"/>
  <c r="CO53" i="1" s="1"/>
  <c r="BU55" i="1"/>
  <c r="G56" i="1"/>
  <c r="AQ56" i="1"/>
  <c r="BW56" i="1"/>
  <c r="CL56" i="1" s="1"/>
  <c r="BJ56" i="1"/>
  <c r="CE56" i="1" s="1"/>
  <c r="CO56" i="1" s="1"/>
  <c r="CM57" i="1"/>
  <c r="AU58" i="1"/>
  <c r="Q60" i="1"/>
  <c r="Q74" i="1" s="1"/>
  <c r="AN60" i="1"/>
  <c r="CE61" i="1"/>
  <c r="CJ63" i="1"/>
  <c r="CO63" i="1" s="1"/>
  <c r="BU65" i="1"/>
  <c r="G66" i="1"/>
  <c r="BW66" i="1"/>
  <c r="CL66" i="1" s="1"/>
  <c r="AU68" i="1"/>
  <c r="CN68" i="1"/>
  <c r="M74" i="1"/>
  <c r="U74" i="1"/>
  <c r="AE74" i="1"/>
  <c r="BL74" i="1"/>
  <c r="CG74" i="1" s="1"/>
  <c r="CE73" i="1"/>
  <c r="CK41" i="1"/>
  <c r="CL42" i="1"/>
  <c r="CE45" i="1"/>
  <c r="CO45" i="1" s="1"/>
  <c r="CL49" i="1"/>
  <c r="CM51" i="1"/>
  <c r="CF56" i="1"/>
  <c r="CK56" i="1" s="1"/>
  <c r="CK59" i="1"/>
  <c r="CL60" i="1"/>
  <c r="CA60" i="1"/>
  <c r="CK60" i="1" s="1"/>
  <c r="BJ60" i="1"/>
  <c r="CE60" i="1" s="1"/>
  <c r="CJ61" i="1"/>
  <c r="CL64" i="1"/>
  <c r="N74" i="1"/>
  <c r="AA69" i="1"/>
  <c r="AA74" i="1" s="1"/>
  <c r="AV74" i="1"/>
  <c r="BQ74" i="1" s="1"/>
  <c r="BD74" i="1"/>
  <c r="BM74" i="1"/>
  <c r="CH74" i="1" s="1"/>
  <c r="CH69" i="1"/>
  <c r="CM70" i="1"/>
  <c r="CJ73" i="1"/>
  <c r="AS69" i="1"/>
  <c r="E74" i="1"/>
  <c r="AC74" i="1"/>
  <c r="AM74" i="1" s="1"/>
  <c r="BO46" i="1"/>
  <c r="CJ46" i="1" s="1"/>
  <c r="BO56" i="1"/>
  <c r="CJ56" i="1" s="1"/>
  <c r="V69" i="1"/>
  <c r="V74" i="1" s="1"/>
  <c r="BJ69" i="1"/>
  <c r="BS69" i="1"/>
  <c r="CA69" i="1"/>
  <c r="CI69" i="1"/>
  <c r="BB74" i="1"/>
  <c r="BW74" i="1" s="1"/>
  <c r="W74" i="1"/>
  <c r="BC74" i="1"/>
  <c r="BX74" i="1" s="1"/>
  <c r="BK74" i="1"/>
  <c r="BE52" i="1"/>
  <c r="BZ52" i="1" s="1"/>
  <c r="CO52" i="1" s="1"/>
  <c r="BO69" i="1"/>
  <c r="BO74" i="2" l="1"/>
  <c r="CJ69" i="2"/>
  <c r="CE69" i="2"/>
  <c r="BJ74" i="2"/>
  <c r="CO29" i="2"/>
  <c r="CK69" i="2"/>
  <c r="BZ21" i="2"/>
  <c r="CO21" i="2" s="1"/>
  <c r="AP5" i="2"/>
  <c r="BU4" i="2"/>
  <c r="CJ6" i="2"/>
  <c r="CE6" i="2"/>
  <c r="BZ6" i="2"/>
  <c r="CO6" i="2" s="1"/>
  <c r="AZ74" i="2"/>
  <c r="BU69" i="2"/>
  <c r="CO60" i="2"/>
  <c r="CE60" i="2"/>
  <c r="CK74" i="2"/>
  <c r="CE21" i="2"/>
  <c r="CJ21" i="2"/>
  <c r="CI74" i="2"/>
  <c r="AU7" i="2"/>
  <c r="BU7" i="2"/>
  <c r="BZ4" i="2"/>
  <c r="CJ4" i="2"/>
  <c r="BZ5" i="2"/>
  <c r="BU5" i="2"/>
  <c r="AR74" i="2"/>
  <c r="BW74" i="2"/>
  <c r="CD74" i="2"/>
  <c r="AM74" i="2"/>
  <c r="BU21" i="2"/>
  <c r="CK6" i="2"/>
  <c r="AU4" i="2"/>
  <c r="CG3" i="2"/>
  <c r="CL29" i="2"/>
  <c r="CO52" i="2"/>
  <c r="CE3" i="2"/>
  <c r="CE4" i="2"/>
  <c r="BU8" i="2"/>
  <c r="CO56" i="2"/>
  <c r="AP69" i="2"/>
  <c r="AF74" i="2"/>
  <c r="CN69" i="2"/>
  <c r="CH74" i="2"/>
  <c r="CO17" i="2"/>
  <c r="CB74" i="2"/>
  <c r="AK74" i="2"/>
  <c r="AM3" i="2"/>
  <c r="AR3" i="2"/>
  <c r="Q3" i="2"/>
  <c r="CJ3" i="2" s="1"/>
  <c r="BZ8" i="2"/>
  <c r="CO8" i="2" s="1"/>
  <c r="CJ8" i="2"/>
  <c r="CE8" i="2"/>
  <c r="CJ60" i="2"/>
  <c r="BE74" i="2"/>
  <c r="BZ69" i="2"/>
  <c r="BT74" i="2"/>
  <c r="CC74" i="2"/>
  <c r="CM74" i="2" s="1"/>
  <c r="BR74" i="2"/>
  <c r="CL74" i="2" s="1"/>
  <c r="CO71" i="2"/>
  <c r="CO9" i="2"/>
  <c r="AU8" i="2"/>
  <c r="BZ7" i="2"/>
  <c r="CB3" i="2"/>
  <c r="CL3" i="2" s="1"/>
  <c r="CK66" i="1"/>
  <c r="AQ66" i="1"/>
  <c r="AK66" i="1"/>
  <c r="AU66" i="1" s="1"/>
  <c r="AP69" i="1"/>
  <c r="AF74" i="1"/>
  <c r="AP74" i="1" s="1"/>
  <c r="AO74" i="1"/>
  <c r="CO60" i="1"/>
  <c r="CA74" i="1"/>
  <c r="AG74" i="1"/>
  <c r="AQ74" i="1" s="1"/>
  <c r="AT74" i="1"/>
  <c r="BR74" i="1"/>
  <c r="CL74" i="1" s="1"/>
  <c r="CO46" i="1"/>
  <c r="AL74" i="1"/>
  <c r="CM52" i="1"/>
  <c r="BZ9" i="1"/>
  <c r="CO9" i="1" s="1"/>
  <c r="CD74" i="1"/>
  <c r="CM74" i="1"/>
  <c r="CO66" i="1"/>
  <c r="BZ74" i="1"/>
  <c r="BO74" i="1"/>
  <c r="CJ74" i="1" s="1"/>
  <c r="CJ69" i="1"/>
  <c r="BV74" i="1"/>
  <c r="CK74" i="1" s="1"/>
  <c r="AR74" i="1"/>
  <c r="CO37" i="1"/>
  <c r="CO23" i="1"/>
  <c r="CB74" i="1"/>
  <c r="CO29" i="1"/>
  <c r="CN52" i="1"/>
  <c r="CE69" i="1"/>
  <c r="CO69" i="1" s="1"/>
  <c r="BJ74" i="1"/>
  <c r="CE74" i="1" s="1"/>
  <c r="CO36" i="1"/>
  <c r="CM9" i="1"/>
  <c r="BT74" i="1"/>
  <c r="BY74" i="1"/>
  <c r="AU69" i="1"/>
  <c r="AK74" i="1"/>
  <c r="AU74" i="1" s="1"/>
  <c r="CM69" i="1"/>
  <c r="CF74" i="1"/>
  <c r="CO73" i="1"/>
  <c r="CN69" i="1"/>
  <c r="AP60" i="1"/>
  <c r="CI74" i="1"/>
  <c r="AZ74" i="1"/>
  <c r="BU74" i="1" s="1"/>
  <c r="CO3" i="1"/>
  <c r="CO17" i="1"/>
  <c r="CO15" i="1"/>
  <c r="BU74" i="2" l="1"/>
  <c r="CN74" i="2"/>
  <c r="BU3" i="2"/>
  <c r="Q74" i="2"/>
  <c r="AP74" i="2" s="1"/>
  <c r="CO7" i="2"/>
  <c r="CO5" i="2"/>
  <c r="AP3" i="2"/>
  <c r="AU3" i="2"/>
  <c r="CO69" i="2"/>
  <c r="BZ3" i="2"/>
  <c r="CO3" i="2" s="1"/>
  <c r="CO4" i="2"/>
  <c r="CN74" i="1"/>
  <c r="CO74" i="1"/>
  <c r="AU74" i="2" l="1"/>
  <c r="CJ74" i="2"/>
  <c r="BZ74" i="2"/>
  <c r="CO74" i="2" s="1"/>
  <c r="CE74" i="2"/>
</calcChain>
</file>

<file path=xl/sharedStrings.xml><?xml version="1.0" encoding="utf-8"?>
<sst xmlns="http://schemas.openxmlformats.org/spreadsheetml/2006/main" count="502" uniqueCount="134">
  <si>
    <t>RECAPITULATION PRETEST 2025-2026</t>
  </si>
  <si>
    <t xml:space="preserve">EFFECTIF DES ELEVES </t>
  </si>
  <si>
    <t>EFFECTIF DES ELEVES AYANT FAIT LE TEST</t>
  </si>
  <si>
    <t>DEBUTANT</t>
  </si>
  <si>
    <t>1 CHIFFRE</t>
  </si>
  <si>
    <t>2 CHIFFRES</t>
  </si>
  <si>
    <t>3 CHIFFRES</t>
  </si>
  <si>
    <t>POURCENTAGE 2 CHIFFRES</t>
  </si>
  <si>
    <t>POURCENTAGE 3 CHIFFRES</t>
  </si>
  <si>
    <t>ADDITION PEUT FAIRE</t>
  </si>
  <si>
    <t>SOUSTRACTION PEUT FAIRE</t>
  </si>
  <si>
    <t>MULTIPLICATION PEUT FAIRE</t>
  </si>
  <si>
    <t>DIVISION PEUT FAIRE</t>
  </si>
  <si>
    <t>% ADDITION PEUT FAIRE</t>
  </si>
  <si>
    <t>% SOUSTRACTION PEUT FAIRE</t>
  </si>
  <si>
    <t>% MULTIPLICATION PEUT FAIRE</t>
  </si>
  <si>
    <t>% DIVISION PEUT FAIRE</t>
  </si>
  <si>
    <t>4 OPERATIONS</t>
  </si>
  <si>
    <t>COULEUR CARTE</t>
  </si>
  <si>
    <t>N°</t>
  </si>
  <si>
    <t>DREN</t>
  </si>
  <si>
    <t>CISCO</t>
  </si>
  <si>
    <t>MOIS et ANNEE DE TEST</t>
  </si>
  <si>
    <t># TOTAL EPP</t>
  </si>
  <si>
    <t># TOTAL EPP AYANT REMIS DE TEST</t>
  </si>
  <si>
    <t>% COLLECTE</t>
  </si>
  <si>
    <t>T2</t>
  </si>
  <si>
    <t>T3</t>
  </si>
  <si>
    <t>T4</t>
  </si>
  <si>
    <t>T5</t>
  </si>
  <si>
    <t>TOTAL EFFECTIF</t>
  </si>
  <si>
    <t xml:space="preserve">TOTAL PRESENT AU TEST </t>
  </si>
  <si>
    <t>TOTAL</t>
  </si>
  <si>
    <t>TOTAL ALAOTRA MANGORO</t>
  </si>
  <si>
    <t>ALAOTRA MANGORO</t>
  </si>
  <si>
    <t>AMBATONDRAZAKA</t>
  </si>
  <si>
    <t>AMPARAFARAVOLA</t>
  </si>
  <si>
    <t>ANDILAMENA</t>
  </si>
  <si>
    <t>ANOSIBE AN'ALA</t>
  </si>
  <si>
    <t>MORAMANGA</t>
  </si>
  <si>
    <t>TOTAL ATSINANANA</t>
  </si>
  <si>
    <t>ATSINANANA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</si>
  <si>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</si>
  <si>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</si>
  <si>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</si>
  <si>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</si>
  <si>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</si>
  <si>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</si>
  <si>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</si>
  <si>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TOTAL BETSIBOKA</t>
  </si>
  <si>
    <t>BETSIBOKA</t>
  </si>
  <si>
    <t>MAEVATANANA</t>
  </si>
  <si>
    <t>TSARATANANA</t>
  </si>
  <si>
    <t>KANDREHO</t>
  </si>
  <si>
    <t>TOTAL HAUTE MATSIATRA</t>
  </si>
  <si>
    <t>HAUTE MATSIATRA</t>
  </si>
  <si>
    <t>AMBALAVAO</t>
  </si>
  <si>
    <t>AMBOHIMAHASOA</t>
  </si>
  <si>
    <t>FIANARANTSOA</t>
  </si>
  <si>
    <t>IKALAMAVONY</t>
  </si>
  <si>
    <t>ISANDRA</t>
  </si>
  <si>
    <t>LALANGINA</t>
  </si>
  <si>
    <t>VOHIBATO</t>
  </si>
  <si>
    <t>TOTAL VAKINAKARATRA</t>
  </si>
  <si>
    <t>VAKINAKARATRA</t>
  </si>
  <si>
    <t>AMBATOLAMPY</t>
  </si>
  <si>
    <t xml:space="preserve">ANTANIFOTSY </t>
  </si>
  <si>
    <t>ANTSIRABE I</t>
  </si>
  <si>
    <t>ANTSIRABE II</t>
  </si>
  <si>
    <t>BETAFO</t>
  </si>
  <si>
    <t>FARATSIHO</t>
  </si>
  <si>
    <t>MANDOTO</t>
  </si>
  <si>
    <t>TOTAL ANALAMANGA</t>
  </si>
  <si>
    <t>ANALAMANGA</t>
  </si>
  <si>
    <t>AMBOHIDRATRIMO</t>
  </si>
  <si>
    <t>ATSIMONDRANO</t>
  </si>
  <si>
    <t>RENIVOHITRA</t>
  </si>
  <si>
    <t>ANDRAMASINA</t>
  </si>
  <si>
    <t>ANKAZOBE</t>
  </si>
  <si>
    <t>AVARADRANO</t>
  </si>
  <si>
    <t>ANJOZOROBE</t>
  </si>
  <si>
    <t>MANJAKANDRIANA</t>
  </si>
  <si>
    <t>TOTAL DIANA</t>
  </si>
  <si>
    <t>DIANA</t>
  </si>
  <si>
    <t>ANTSIRANANA I</t>
  </si>
  <si>
    <t>ANTSIRANANA II</t>
  </si>
  <si>
    <t>NOSY BE</t>
  </si>
  <si>
    <t>AMBANJA</t>
  </si>
  <si>
    <t>AMBILOBE</t>
  </si>
  <si>
    <t>TOTAL IHOROMBE</t>
  </si>
  <si>
    <t>IHOROMBE</t>
  </si>
  <si>
    <t>IHOSY</t>
  </si>
  <si>
    <t>IAKORA</t>
  </si>
  <si>
    <t>IVOHIBE</t>
  </si>
  <si>
    <t>TOTAL ITASY</t>
  </si>
  <si>
    <t>ITASY</t>
  </si>
  <si>
    <t>ARIVONIMAMO</t>
  </si>
  <si>
    <t>MIARINARIVO</t>
  </si>
  <si>
    <t>SOAVINANDRIANA</t>
  </si>
  <si>
    <t>TOTAL MELAKY</t>
  </si>
  <si>
    <t>MELAKY</t>
  </si>
  <si>
    <t>MAINTIRANO</t>
  </si>
  <si>
    <t>BESALAMPY</t>
  </si>
  <si>
    <t>Septembre_2025</t>
  </si>
  <si>
    <t>MORAFENOBE</t>
  </si>
  <si>
    <t>AMBATOMAINTY</t>
  </si>
  <si>
    <t>ANTSALOVA</t>
  </si>
  <si>
    <t>TOTAL BONGOLAVA</t>
  </si>
  <si>
    <t>BONGOLAVA</t>
  </si>
  <si>
    <t>TSIROANOMANDIDY</t>
  </si>
  <si>
    <t>2 686</t>
  </si>
  <si>
    <t>5 456</t>
  </si>
  <si>
    <t>3 840</t>
  </si>
  <si>
    <t>1 796</t>
  </si>
  <si>
    <t>1 937</t>
  </si>
  <si>
    <t>4 662</t>
  </si>
  <si>
    <t>5 427</t>
  </si>
  <si>
    <t>4 758</t>
  </si>
  <si>
    <t>FENOARIVOBE</t>
  </si>
  <si>
    <t>1 772</t>
  </si>
  <si>
    <t>2 173</t>
  </si>
  <si>
    <t>2 126</t>
  </si>
  <si>
    <t>1 896</t>
  </si>
  <si>
    <t>2 298</t>
  </si>
  <si>
    <t>1 819</t>
  </si>
  <si>
    <t>TOTAL AMORON'I MANIA</t>
  </si>
  <si>
    <t>AMORON'I MANIA</t>
  </si>
  <si>
    <t>AMBOSITRA</t>
  </si>
  <si>
    <t>FANDRIANA</t>
  </si>
  <si>
    <t>MANANDRIANA</t>
  </si>
  <si>
    <t>AMBATOFINANDRAHANA</t>
  </si>
  <si>
    <t>TOTAL REGIONS</t>
  </si>
  <si>
    <t>RECAPITULATION TEST FINAL 2025-2026</t>
  </si>
  <si>
    <t>MOIS DE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</si>
</sst>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mmmm\ yyyy"/>
    <numFmt numFmtId="166" formatCode="0.0%"/>
  </numFmts>
  <fonts count="1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u/>
      <sz val="18"/>
      <color theme="1"/>
      <name val="Book Antiqua"/>
      <family val="1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Book Antiqua"/>
      <family val="1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Book Antiqua"/>
    </font>
  </fonts>
  <fills count="1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00B050"/>
        <bgColor rgb="FF00B050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AACF3"/>
        <bgColor rgb="FFFAACF3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0" borderId="0" xfId="0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9" fontId="3" fillId="8" borderId="1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9" borderId="4" xfId="0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1" fontId="3" fillId="5" borderId="5" xfId="0" applyNumberFormat="1" applyFont="1" applyFill="1" applyBorder="1" applyAlignment="1">
      <alignment horizontal="center" vertical="center" wrapText="1"/>
    </xf>
    <xf numFmtId="1" fontId="3" fillId="6" borderId="5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9" fontId="3" fillId="2" borderId="3" xfId="0" applyNumberFormat="1" applyFont="1" applyFill="1" applyBorder="1" applyAlignment="1">
      <alignment horizontal="center" vertical="center" wrapText="1"/>
    </xf>
    <xf numFmtId="9" fontId="3" fillId="2" borderId="5" xfId="0" applyNumberFormat="1" applyFont="1" applyFill="1" applyBorder="1" applyAlignment="1">
      <alignment horizontal="center" vertical="center" wrapText="1"/>
    </xf>
    <xf numFmtId="9" fontId="3" fillId="5" borderId="5" xfId="0" applyNumberFormat="1" applyFont="1" applyFill="1" applyBorder="1" applyAlignment="1">
      <alignment horizontal="center" vertical="center" wrapText="1"/>
    </xf>
    <xf numFmtId="9" fontId="3" fillId="6" borderId="5" xfId="0" applyNumberFormat="1" applyFont="1" applyFill="1" applyBorder="1" applyAlignment="1">
      <alignment horizontal="center" vertical="center" wrapText="1"/>
    </xf>
    <xf numFmtId="9" fontId="3" fillId="3" borderId="5" xfId="0" applyNumberFormat="1" applyFont="1" applyFill="1" applyBorder="1" applyAlignment="1">
      <alignment horizontal="center" vertical="center" wrapText="1"/>
    </xf>
    <xf numFmtId="9" fontId="3" fillId="8" borderId="5" xfId="0" applyNumberFormat="1" applyFont="1" applyFill="1" applyBorder="1" applyAlignment="1">
      <alignment horizontal="center" vertical="center" wrapText="1"/>
    </xf>
    <xf numFmtId="9" fontId="3" fillId="8" borderId="1" xfId="0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0" fontId="6" fillId="10" borderId="1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horizontal="left" vertical="center" wrapText="1"/>
    </xf>
    <xf numFmtId="0" fontId="6" fillId="10" borderId="5" xfId="0" applyFont="1" applyFill="1" applyBorder="1" applyAlignment="1">
      <alignment horizontal="left" vertical="center" wrapText="1"/>
    </xf>
    <xf numFmtId="0" fontId="6" fillId="10" borderId="5" xfId="0" applyFont="1" applyFill="1" applyBorder="1" applyAlignment="1">
      <alignment horizontal="center" vertical="center"/>
    </xf>
    <xf numFmtId="3" fontId="6" fillId="10" borderId="5" xfId="0" applyNumberFormat="1" applyFont="1" applyFill="1" applyBorder="1" applyAlignment="1">
      <alignment horizontal="center" vertical="center"/>
    </xf>
    <xf numFmtId="9" fontId="6" fillId="10" borderId="5" xfId="0" applyNumberFormat="1" applyFont="1" applyFill="1" applyBorder="1" applyAlignment="1">
      <alignment horizontal="center" vertical="center"/>
    </xf>
    <xf numFmtId="3" fontId="7" fillId="10" borderId="5" xfId="0" applyNumberFormat="1" applyFont="1" applyFill="1" applyBorder="1" applyAlignment="1">
      <alignment horizontal="center" vertical="center"/>
    </xf>
    <xf numFmtId="3" fontId="3" fillId="10" borderId="5" xfId="0" applyNumberFormat="1" applyFont="1" applyFill="1" applyBorder="1" applyAlignment="1">
      <alignment horizontal="center" vertical="center"/>
    </xf>
    <xf numFmtId="9" fontId="8" fillId="10" borderId="5" xfId="0" applyNumberFormat="1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9" fontId="6" fillId="10" borderId="3" xfId="0" applyNumberFormat="1" applyFont="1" applyFill="1" applyBorder="1" applyAlignment="1">
      <alignment horizontal="center" vertical="center"/>
    </xf>
    <xf numFmtId="9" fontId="3" fillId="10" borderId="5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3" fontId="7" fillId="9" borderId="5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9" fontId="8" fillId="11" borderId="5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9" fontId="3" fillId="2" borderId="5" xfId="0" applyNumberFormat="1" applyFont="1" applyFill="1" applyBorder="1" applyAlignment="1">
      <alignment horizontal="center" vertical="center"/>
    </xf>
    <xf numFmtId="9" fontId="3" fillId="5" borderId="5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center" vertical="center"/>
    </xf>
    <xf numFmtId="9" fontId="3" fillId="3" borderId="5" xfId="0" applyNumberFormat="1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3" fontId="10" fillId="12" borderId="3" xfId="0" applyNumberFormat="1" applyFont="1" applyFill="1" applyBorder="1" applyAlignment="1">
      <alignment horizontal="center" vertical="center"/>
    </xf>
    <xf numFmtId="3" fontId="10" fillId="12" borderId="5" xfId="0" applyNumberFormat="1" applyFont="1" applyFill="1" applyBorder="1" applyAlignment="1">
      <alignment horizontal="center" vertical="center"/>
    </xf>
    <xf numFmtId="3" fontId="10" fillId="0" borderId="5" xfId="0" applyNumberFormat="1" applyFont="1" applyBorder="1" applyAlignment="1">
      <alignment horizontal="right" vertical="center"/>
    </xf>
    <xf numFmtId="164" fontId="6" fillId="13" borderId="5" xfId="0" applyNumberFormat="1" applyFont="1" applyFill="1" applyBorder="1" applyAlignment="1">
      <alignment horizontal="center" vertical="center"/>
    </xf>
    <xf numFmtId="3" fontId="6" fillId="14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10" fillId="15" borderId="5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vertical="center"/>
    </xf>
    <xf numFmtId="3" fontId="10" fillId="0" borderId="5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3" fontId="10" fillId="15" borderId="3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3" fontId="6" fillId="15" borderId="5" xfId="0" applyNumberFormat="1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3" fontId="10" fillId="16" borderId="5" xfId="0" applyNumberFormat="1" applyFont="1" applyFill="1" applyBorder="1" applyAlignment="1">
      <alignment horizontal="center"/>
    </xf>
    <xf numFmtId="3" fontId="11" fillId="12" borderId="3" xfId="0" applyNumberFormat="1" applyFont="1" applyFill="1" applyBorder="1" applyAlignment="1">
      <alignment horizontal="center"/>
    </xf>
    <xf numFmtId="3" fontId="11" fillId="12" borderId="5" xfId="0" applyNumberFormat="1" applyFont="1" applyFill="1" applyBorder="1" applyAlignment="1">
      <alignment horizontal="center"/>
    </xf>
    <xf numFmtId="164" fontId="12" fillId="0" borderId="5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center"/>
    </xf>
    <xf numFmtId="9" fontId="12" fillId="0" borderId="5" xfId="0" applyNumberFormat="1" applyFont="1" applyBorder="1" applyAlignment="1">
      <alignment horizontal="center" vertical="center"/>
    </xf>
    <xf numFmtId="3" fontId="13" fillId="9" borderId="5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/>
    </xf>
    <xf numFmtId="9" fontId="15" fillId="0" borderId="5" xfId="0" applyNumberFormat="1" applyFont="1" applyBorder="1" applyAlignment="1">
      <alignment horizontal="center" vertical="center"/>
    </xf>
    <xf numFmtId="9" fontId="15" fillId="11" borderId="5" xfId="0" applyNumberFormat="1" applyFont="1" applyFill="1" applyBorder="1" applyAlignment="1">
      <alignment horizontal="center" vertical="center"/>
    </xf>
    <xf numFmtId="3" fontId="14" fillId="2" borderId="5" xfId="0" applyNumberFormat="1" applyFont="1" applyFill="1" applyBorder="1" applyAlignment="1">
      <alignment horizontal="center" vertical="center"/>
    </xf>
    <xf numFmtId="3" fontId="14" fillId="5" borderId="5" xfId="0" applyNumberFormat="1" applyFont="1" applyFill="1" applyBorder="1" applyAlignment="1">
      <alignment horizontal="center" vertical="center"/>
    </xf>
    <xf numFmtId="3" fontId="14" fillId="6" borderId="5" xfId="0" applyNumberFormat="1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9" fontId="12" fillId="0" borderId="3" xfId="0" applyNumberFormat="1" applyFont="1" applyBorder="1" applyAlignment="1">
      <alignment horizontal="center" vertical="center"/>
    </xf>
    <xf numFmtId="9" fontId="14" fillId="2" borderId="5" xfId="0" applyNumberFormat="1" applyFont="1" applyFill="1" applyBorder="1" applyAlignment="1">
      <alignment horizontal="center" vertical="center"/>
    </xf>
    <xf numFmtId="9" fontId="14" fillId="5" borderId="5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9" fontId="14" fillId="3" borderId="5" xfId="0" applyNumberFormat="1" applyFont="1" applyFill="1" applyBorder="1" applyAlignment="1">
      <alignment horizontal="center" vertical="center"/>
    </xf>
    <xf numFmtId="9" fontId="14" fillId="8" borderId="5" xfId="0" applyNumberFormat="1" applyFont="1" applyFill="1" applyBorder="1" applyAlignment="1">
      <alignment horizontal="center" vertical="center"/>
    </xf>
    <xf numFmtId="166" fontId="3" fillId="10" borderId="5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512"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FF"/>
          <bgColor rgb="FFFF99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ont>
        <b/>
        <color theme="0"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FF"/>
          <bgColor rgb="FFFF99FF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EF2CB"/>
          <bgColor rgb="FFFEF2CB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ont>
        <b/>
        <color theme="0"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2F00-BC2F-4A7C-821D-78071DCA172E}">
  <dimension ref="A1:CP996"/>
  <sheetViews>
    <sheetView workbookViewId="0">
      <selection sqref="A1:XFD1048576"/>
    </sheetView>
  </sheetViews>
  <sheetFormatPr baseColWidth="10" defaultColWidth="14.44140625" defaultRowHeight="14.4" x14ac:dyDescent="0.3"/>
  <cols>
    <col min="1" max="1" width="7.6640625" style="18" customWidth="1"/>
    <col min="2" max="3" width="29.6640625" style="18" customWidth="1"/>
    <col min="4" max="4" width="16.33203125" style="18" customWidth="1"/>
    <col min="5" max="7" width="11.33203125" style="18" customWidth="1"/>
    <col min="8" max="11" width="8.44140625" style="18" customWidth="1"/>
    <col min="12" max="12" width="10.6640625" style="18" customWidth="1"/>
    <col min="13" max="16" width="8.44140625" style="18" customWidth="1"/>
    <col min="17" max="17" width="10.44140625" style="18" customWidth="1"/>
    <col min="18" max="26" width="8.44140625" style="18" customWidth="1"/>
    <col min="27" max="28" width="9.5546875" style="18" customWidth="1"/>
    <col min="29" max="37" width="8.44140625" style="18" customWidth="1"/>
    <col min="38" max="47" width="6.5546875" style="18" customWidth="1"/>
    <col min="48" max="51" width="8" style="18" customWidth="1"/>
    <col min="52" max="52" width="11" style="18" customWidth="1"/>
    <col min="53" max="56" width="8" style="18" customWidth="1"/>
    <col min="57" max="57" width="10.6640625" style="18" customWidth="1"/>
    <col min="58" max="66" width="8" style="18" customWidth="1"/>
    <col min="67" max="67" width="10.33203125" style="18" customWidth="1"/>
    <col min="68" max="68" width="0.88671875" style="18" customWidth="1"/>
    <col min="69" max="93" width="8.33203125" style="18" customWidth="1"/>
    <col min="94" max="16384" width="14.44140625" style="18"/>
  </cols>
  <sheetData>
    <row r="1" spans="1:94" ht="42" customHeight="1" x14ac:dyDescent="0.3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5"/>
      <c r="L1" s="6"/>
      <c r="M1" s="3" t="s">
        <v>2</v>
      </c>
      <c r="N1" s="4"/>
      <c r="O1" s="4"/>
      <c r="P1" s="5"/>
      <c r="Q1" s="6"/>
      <c r="R1" s="7" t="s">
        <v>3</v>
      </c>
      <c r="S1" s="4"/>
      <c r="T1" s="4"/>
      <c r="U1" s="4"/>
      <c r="V1" s="5"/>
      <c r="W1" s="7" t="s">
        <v>4</v>
      </c>
      <c r="X1" s="4"/>
      <c r="Y1" s="4"/>
      <c r="Z1" s="4"/>
      <c r="AA1" s="5"/>
      <c r="AB1" s="7" t="s">
        <v>5</v>
      </c>
      <c r="AC1" s="4"/>
      <c r="AD1" s="4"/>
      <c r="AE1" s="4"/>
      <c r="AF1" s="5"/>
      <c r="AG1" s="7" t="s">
        <v>6</v>
      </c>
      <c r="AH1" s="4"/>
      <c r="AI1" s="4"/>
      <c r="AJ1" s="4"/>
      <c r="AK1" s="5"/>
      <c r="AL1" s="8" t="s">
        <v>7</v>
      </c>
      <c r="AM1" s="4"/>
      <c r="AN1" s="4"/>
      <c r="AO1" s="4"/>
      <c r="AP1" s="5"/>
      <c r="AQ1" s="8" t="s">
        <v>8</v>
      </c>
      <c r="AR1" s="4"/>
      <c r="AS1" s="4"/>
      <c r="AT1" s="4"/>
      <c r="AU1" s="5"/>
      <c r="AV1" s="3" t="s">
        <v>9</v>
      </c>
      <c r="AW1" s="4"/>
      <c r="AX1" s="4"/>
      <c r="AY1" s="4"/>
      <c r="AZ1" s="5"/>
      <c r="BA1" s="9" t="s">
        <v>10</v>
      </c>
      <c r="BB1" s="4"/>
      <c r="BC1" s="4"/>
      <c r="BD1" s="4"/>
      <c r="BE1" s="5"/>
      <c r="BF1" s="10" t="s">
        <v>11</v>
      </c>
      <c r="BG1" s="4"/>
      <c r="BH1" s="4"/>
      <c r="BI1" s="4"/>
      <c r="BJ1" s="5"/>
      <c r="BK1" s="7" t="s">
        <v>12</v>
      </c>
      <c r="BL1" s="4"/>
      <c r="BM1" s="4"/>
      <c r="BN1" s="4"/>
      <c r="BO1" s="4"/>
      <c r="BP1" s="11"/>
      <c r="BQ1" s="12" t="s">
        <v>13</v>
      </c>
      <c r="BR1" s="4"/>
      <c r="BS1" s="4"/>
      <c r="BT1" s="4"/>
      <c r="BU1" s="5"/>
      <c r="BV1" s="13" t="s">
        <v>14</v>
      </c>
      <c r="BW1" s="4"/>
      <c r="BX1" s="4"/>
      <c r="BY1" s="4"/>
      <c r="BZ1" s="5"/>
      <c r="CA1" s="14" t="s">
        <v>15</v>
      </c>
      <c r="CB1" s="4"/>
      <c r="CC1" s="4"/>
      <c r="CD1" s="4"/>
      <c r="CE1" s="5"/>
      <c r="CF1" s="15" t="s">
        <v>16</v>
      </c>
      <c r="CG1" s="4"/>
      <c r="CH1" s="4"/>
      <c r="CI1" s="4"/>
      <c r="CJ1" s="5"/>
      <c r="CK1" s="16" t="s">
        <v>17</v>
      </c>
      <c r="CL1" s="4"/>
      <c r="CM1" s="4"/>
      <c r="CN1" s="4"/>
      <c r="CO1" s="4"/>
      <c r="CP1" s="17" t="s">
        <v>18</v>
      </c>
    </row>
    <row r="2" spans="1:94" ht="42" customHeight="1" x14ac:dyDescent="0.3">
      <c r="A2" s="19" t="s">
        <v>19</v>
      </c>
      <c r="B2" s="19" t="s">
        <v>20</v>
      </c>
      <c r="C2" s="19" t="s">
        <v>21</v>
      </c>
      <c r="D2" s="19" t="s">
        <v>22</v>
      </c>
      <c r="E2" s="19" t="s">
        <v>23</v>
      </c>
      <c r="F2" s="19" t="s">
        <v>24</v>
      </c>
      <c r="G2" s="19" t="s">
        <v>25</v>
      </c>
      <c r="H2" s="20" t="s">
        <v>26</v>
      </c>
      <c r="I2" s="20" t="s">
        <v>27</v>
      </c>
      <c r="J2" s="20" t="s">
        <v>28</v>
      </c>
      <c r="K2" s="20" t="s">
        <v>29</v>
      </c>
      <c r="L2" s="21" t="s">
        <v>30</v>
      </c>
      <c r="M2" s="20" t="s">
        <v>26</v>
      </c>
      <c r="N2" s="20" t="s">
        <v>27</v>
      </c>
      <c r="O2" s="20" t="s">
        <v>28</v>
      </c>
      <c r="P2" s="20" t="s">
        <v>29</v>
      </c>
      <c r="Q2" s="20" t="s">
        <v>31</v>
      </c>
      <c r="R2" s="22" t="s">
        <v>26</v>
      </c>
      <c r="S2" s="22" t="s">
        <v>27</v>
      </c>
      <c r="T2" s="22" t="s">
        <v>28</v>
      </c>
      <c r="U2" s="22" t="s">
        <v>29</v>
      </c>
      <c r="V2" s="22" t="s">
        <v>32</v>
      </c>
      <c r="W2" s="22" t="s">
        <v>26</v>
      </c>
      <c r="X2" s="22" t="s">
        <v>27</v>
      </c>
      <c r="Y2" s="22" t="s">
        <v>28</v>
      </c>
      <c r="Z2" s="22" t="s">
        <v>29</v>
      </c>
      <c r="AA2" s="22" t="s">
        <v>32</v>
      </c>
      <c r="AB2" s="22" t="s">
        <v>26</v>
      </c>
      <c r="AC2" s="22" t="s">
        <v>27</v>
      </c>
      <c r="AD2" s="22" t="s">
        <v>28</v>
      </c>
      <c r="AE2" s="22" t="s">
        <v>29</v>
      </c>
      <c r="AF2" s="22" t="s">
        <v>32</v>
      </c>
      <c r="AG2" s="22" t="s">
        <v>26</v>
      </c>
      <c r="AH2" s="22" t="s">
        <v>27</v>
      </c>
      <c r="AI2" s="22" t="s">
        <v>28</v>
      </c>
      <c r="AJ2" s="22" t="s">
        <v>29</v>
      </c>
      <c r="AK2" s="22" t="s">
        <v>32</v>
      </c>
      <c r="AL2" s="23" t="s">
        <v>26</v>
      </c>
      <c r="AM2" s="23" t="s">
        <v>27</v>
      </c>
      <c r="AN2" s="23" t="s">
        <v>28</v>
      </c>
      <c r="AO2" s="23" t="s">
        <v>29</v>
      </c>
      <c r="AP2" s="23" t="s">
        <v>32</v>
      </c>
      <c r="AQ2" s="23" t="s">
        <v>26</v>
      </c>
      <c r="AR2" s="23" t="s">
        <v>27</v>
      </c>
      <c r="AS2" s="23" t="s">
        <v>28</v>
      </c>
      <c r="AT2" s="23" t="s">
        <v>29</v>
      </c>
      <c r="AU2" s="23" t="s">
        <v>32</v>
      </c>
      <c r="AV2" s="20" t="s">
        <v>26</v>
      </c>
      <c r="AW2" s="20" t="s">
        <v>27</v>
      </c>
      <c r="AX2" s="20" t="s">
        <v>28</v>
      </c>
      <c r="AY2" s="20" t="s">
        <v>29</v>
      </c>
      <c r="AZ2" s="20" t="s">
        <v>32</v>
      </c>
      <c r="BA2" s="24" t="s">
        <v>26</v>
      </c>
      <c r="BB2" s="24" t="s">
        <v>27</v>
      </c>
      <c r="BC2" s="24" t="s">
        <v>28</v>
      </c>
      <c r="BD2" s="24" t="s">
        <v>29</v>
      </c>
      <c r="BE2" s="24" t="s">
        <v>32</v>
      </c>
      <c r="BF2" s="25" t="s">
        <v>26</v>
      </c>
      <c r="BG2" s="25" t="s">
        <v>27</v>
      </c>
      <c r="BH2" s="25" t="s">
        <v>28</v>
      </c>
      <c r="BI2" s="25" t="s">
        <v>29</v>
      </c>
      <c r="BJ2" s="25" t="s">
        <v>32</v>
      </c>
      <c r="BK2" s="22" t="s">
        <v>26</v>
      </c>
      <c r="BL2" s="22" t="s">
        <v>27</v>
      </c>
      <c r="BM2" s="22" t="s">
        <v>28</v>
      </c>
      <c r="BN2" s="22" t="s">
        <v>29</v>
      </c>
      <c r="BO2" s="26" t="s">
        <v>32</v>
      </c>
      <c r="BP2" s="27"/>
      <c r="BQ2" s="28" t="s">
        <v>26</v>
      </c>
      <c r="BR2" s="29" t="s">
        <v>27</v>
      </c>
      <c r="BS2" s="29" t="s">
        <v>28</v>
      </c>
      <c r="BT2" s="29" t="s">
        <v>29</v>
      </c>
      <c r="BU2" s="29" t="s">
        <v>32</v>
      </c>
      <c r="BV2" s="30" t="s">
        <v>26</v>
      </c>
      <c r="BW2" s="30" t="s">
        <v>27</v>
      </c>
      <c r="BX2" s="30" t="s">
        <v>28</v>
      </c>
      <c r="BY2" s="30" t="s">
        <v>29</v>
      </c>
      <c r="BZ2" s="30" t="s">
        <v>32</v>
      </c>
      <c r="CA2" s="31" t="s">
        <v>26</v>
      </c>
      <c r="CB2" s="31" t="s">
        <v>27</v>
      </c>
      <c r="CC2" s="31" t="s">
        <v>28</v>
      </c>
      <c r="CD2" s="31" t="s">
        <v>29</v>
      </c>
      <c r="CE2" s="31" t="s">
        <v>32</v>
      </c>
      <c r="CF2" s="32" t="s">
        <v>26</v>
      </c>
      <c r="CG2" s="32" t="s">
        <v>27</v>
      </c>
      <c r="CH2" s="32" t="s">
        <v>28</v>
      </c>
      <c r="CI2" s="32" t="s">
        <v>29</v>
      </c>
      <c r="CJ2" s="32" t="s">
        <v>32</v>
      </c>
      <c r="CK2" s="33" t="s">
        <v>26</v>
      </c>
      <c r="CL2" s="33" t="s">
        <v>27</v>
      </c>
      <c r="CM2" s="33" t="s">
        <v>28</v>
      </c>
      <c r="CN2" s="33" t="s">
        <v>29</v>
      </c>
      <c r="CO2" s="34" t="s">
        <v>32</v>
      </c>
      <c r="CP2" s="35"/>
    </row>
    <row r="3" spans="1:94" ht="30.75" customHeight="1" x14ac:dyDescent="0.3">
      <c r="A3" s="36" t="s">
        <v>33</v>
      </c>
      <c r="B3" s="37"/>
      <c r="C3" s="38"/>
      <c r="D3" s="39"/>
      <c r="E3" s="40">
        <f t="shared" ref="E3:F3" si="0">SUM(E4:E8)</f>
        <v>1269</v>
      </c>
      <c r="F3" s="40">
        <f t="shared" si="0"/>
        <v>1230</v>
      </c>
      <c r="G3" s="41">
        <f t="shared" ref="G3:G74" si="1">IFERROR(+F3/E3,"")</f>
        <v>0.96926713947990539</v>
      </c>
      <c r="H3" s="40">
        <f t="shared" ref="H3:K3" si="2">SUM(H4:H8)</f>
        <v>44696</v>
      </c>
      <c r="I3" s="40">
        <f t="shared" si="2"/>
        <v>41155</v>
      </c>
      <c r="J3" s="40">
        <f t="shared" si="2"/>
        <v>30915</v>
      </c>
      <c r="K3" s="40">
        <f t="shared" si="2"/>
        <v>23638</v>
      </c>
      <c r="L3" s="42">
        <f t="shared" ref="L3:L73" si="3">SUM(H3:K3)</f>
        <v>140404</v>
      </c>
      <c r="M3" s="40">
        <f t="shared" ref="M3:P3" si="4">SUM(M4:M8)</f>
        <v>42163</v>
      </c>
      <c r="N3" s="40">
        <f t="shared" si="4"/>
        <v>39418</v>
      </c>
      <c r="O3" s="40">
        <f t="shared" si="4"/>
        <v>29788</v>
      </c>
      <c r="P3" s="40">
        <f t="shared" si="4"/>
        <v>22968</v>
      </c>
      <c r="Q3" s="42">
        <f t="shared" ref="Q3:Q73" si="5">SUM(M3:P3)</f>
        <v>134337</v>
      </c>
      <c r="R3" s="40">
        <f t="shared" ref="R3:U3" si="6">SUM(R4:R8)</f>
        <v>2580</v>
      </c>
      <c r="S3" s="40">
        <f t="shared" si="6"/>
        <v>685</v>
      </c>
      <c r="T3" s="40">
        <f t="shared" si="6"/>
        <v>126</v>
      </c>
      <c r="U3" s="40">
        <f t="shared" si="6"/>
        <v>74</v>
      </c>
      <c r="V3" s="43">
        <f t="shared" ref="V3:V73" si="7">SUM(R3:U3)</f>
        <v>3465</v>
      </c>
      <c r="W3" s="40">
        <f t="shared" ref="W3:Z3" si="8">SUM(W4:W8)</f>
        <v>11489</v>
      </c>
      <c r="X3" s="40">
        <f t="shared" si="8"/>
        <v>5368</v>
      </c>
      <c r="Y3" s="40">
        <f t="shared" si="8"/>
        <v>1669</v>
      </c>
      <c r="Z3" s="40">
        <f t="shared" si="8"/>
        <v>347</v>
      </c>
      <c r="AA3" s="43">
        <f t="shared" ref="AA3:AA73" si="9">SUM(W3:Z3)</f>
        <v>18873</v>
      </c>
      <c r="AB3" s="40">
        <f t="shared" ref="AB3:AE3" si="10">SUM(AB4:AB8)</f>
        <v>17543</v>
      </c>
      <c r="AC3" s="40">
        <f t="shared" si="10"/>
        <v>15211</v>
      </c>
      <c r="AD3" s="40">
        <f t="shared" si="10"/>
        <v>7863</v>
      </c>
      <c r="AE3" s="40">
        <f t="shared" si="10"/>
        <v>2569</v>
      </c>
      <c r="AF3" s="43">
        <f t="shared" ref="AF3:AF73" si="11">SUM(AB3:AE3)</f>
        <v>43186</v>
      </c>
      <c r="AG3" s="40">
        <f t="shared" ref="AG3:AJ3" si="12">SUM(AG4:AG8)</f>
        <v>10479</v>
      </c>
      <c r="AH3" s="40">
        <f t="shared" si="12"/>
        <v>18097</v>
      </c>
      <c r="AI3" s="40">
        <f t="shared" si="12"/>
        <v>20039</v>
      </c>
      <c r="AJ3" s="40">
        <f t="shared" si="12"/>
        <v>19891</v>
      </c>
      <c r="AK3" s="43">
        <f t="shared" ref="AK3:AK73" si="13">SUM(AG3:AJ3)</f>
        <v>68506</v>
      </c>
      <c r="AL3" s="44">
        <f t="shared" ref="AL3:AL74" si="14">IFERROR(AB3/$M3,"")</f>
        <v>0.41607570618788986</v>
      </c>
      <c r="AM3" s="44">
        <f t="shared" ref="AM3:AM74" si="15">IFERROR(AC3/$N3,"")</f>
        <v>0.38588969506316911</v>
      </c>
      <c r="AN3" s="44">
        <f t="shared" ref="AN3:AN74" si="16">IFERROR(AD3/$O3,"")</f>
        <v>0.26396535517658115</v>
      </c>
      <c r="AO3" s="44">
        <f t="shared" ref="AO3:AO74" si="17">IFERROR(AE3/$P3,"")</f>
        <v>0.11185127133402996</v>
      </c>
      <c r="AP3" s="44">
        <f t="shared" ref="AP3:AP74" si="18">IFERROR(AF3/$Q3,"")</f>
        <v>0.32147509621325471</v>
      </c>
      <c r="AQ3" s="44">
        <f t="shared" ref="AQ3:AQ74" si="19">IFERROR(AG3/$M3,"")</f>
        <v>0.2485354457699879</v>
      </c>
      <c r="AR3" s="44">
        <f t="shared" ref="AR3:AR74" si="20">IFERROR(AH3/$N3,"")</f>
        <v>0.4591049774214826</v>
      </c>
      <c r="AS3" s="44">
        <f t="shared" ref="AS3:AS74" si="21">IFERROR(AI3/$O3,"")</f>
        <v>0.6727205586142071</v>
      </c>
      <c r="AT3" s="44">
        <f t="shared" ref="AT3:AT74" si="22">IFERROR(AJ3/$P3,"")</f>
        <v>0.86603099965168928</v>
      </c>
      <c r="AU3" s="44">
        <f t="shared" ref="AU3:AU74" si="23">IFERROR(AK3/$Q3,"")</f>
        <v>0.50995630392222546</v>
      </c>
      <c r="AV3" s="40">
        <f t="shared" ref="AV3:AY3" si="24">SUM(AV4:AV8)</f>
        <v>13848</v>
      </c>
      <c r="AW3" s="40">
        <f t="shared" si="24"/>
        <v>20795</v>
      </c>
      <c r="AX3" s="40">
        <f t="shared" si="24"/>
        <v>21026</v>
      </c>
      <c r="AY3" s="40">
        <f t="shared" si="24"/>
        <v>18250</v>
      </c>
      <c r="AZ3" s="43">
        <f t="shared" ref="AZ3:AZ73" si="25">SUM(AV3:AY3)</f>
        <v>73919</v>
      </c>
      <c r="BA3" s="40">
        <f t="shared" ref="BA3:BD3" si="26">SUM(BA4:BA8)</f>
        <v>10671</v>
      </c>
      <c r="BB3" s="40">
        <f t="shared" si="26"/>
        <v>14670</v>
      </c>
      <c r="BC3" s="40">
        <f t="shared" si="26"/>
        <v>15612</v>
      </c>
      <c r="BD3" s="40">
        <f t="shared" si="26"/>
        <v>16132</v>
      </c>
      <c r="BE3" s="43">
        <f t="shared" ref="BE3:BE73" si="27">SUM(BA3:BD3)</f>
        <v>57085</v>
      </c>
      <c r="BF3" s="40">
        <f t="shared" ref="BF3:BI3" si="28">SUM(BF4:BF8)</f>
        <v>6470</v>
      </c>
      <c r="BG3" s="40">
        <f t="shared" si="28"/>
        <v>10686</v>
      </c>
      <c r="BH3" s="40">
        <f t="shared" si="28"/>
        <v>13242</v>
      </c>
      <c r="BI3" s="40">
        <f t="shared" si="28"/>
        <v>14841</v>
      </c>
      <c r="BJ3" s="43">
        <f t="shared" ref="BJ3:BJ73" si="29">SUM(BF3:BI3)</f>
        <v>45239</v>
      </c>
      <c r="BK3" s="40">
        <f t="shared" ref="BK3:BN3" si="30">SUM(BK4:BK8)</f>
        <v>4217</v>
      </c>
      <c r="BL3" s="40">
        <f t="shared" si="30"/>
        <v>6356</v>
      </c>
      <c r="BM3" s="40">
        <f t="shared" si="30"/>
        <v>8248</v>
      </c>
      <c r="BN3" s="40">
        <f t="shared" si="30"/>
        <v>10842</v>
      </c>
      <c r="BO3" s="43">
        <f t="shared" ref="BO3:BO73" si="31">SUM(BK3:BN3)</f>
        <v>29663</v>
      </c>
      <c r="BP3" s="45"/>
      <c r="BQ3" s="46">
        <f t="shared" ref="BQ3:BQ74" si="32">IFERROR(AV3/$M3,"")</f>
        <v>0.32843962716125513</v>
      </c>
      <c r="BR3" s="46">
        <f t="shared" ref="BR3:BR74" si="33">IFERROR(AW3/$N3,"")</f>
        <v>0.5275508650870161</v>
      </c>
      <c r="BS3" s="46">
        <f t="shared" ref="BS3:BS74" si="34">IFERROR(AX3/$O3,"")</f>
        <v>0.705854706593259</v>
      </c>
      <c r="BT3" s="46">
        <f t="shared" ref="BT3:BT74" si="35">IFERROR(AY3/$P3,"")</f>
        <v>0.79458376872169978</v>
      </c>
      <c r="BU3" s="46">
        <f t="shared" ref="BU3:BU74" si="36">IFERROR(AZ3/$Q3,"")</f>
        <v>0.55025048944073485</v>
      </c>
      <c r="BV3" s="46">
        <f t="shared" ref="BV3:BV74" si="37">IFERROR(BA3/$M3,"")</f>
        <v>0.25308920143253566</v>
      </c>
      <c r="BW3" s="46">
        <f t="shared" ref="BW3:BW74" si="38">IFERROR(BB3/$N3,"")</f>
        <v>0.37216500076107362</v>
      </c>
      <c r="BX3" s="46">
        <f t="shared" ref="BX3:BX74" si="39">IFERROR(BC3/$O3,"")</f>
        <v>0.52410366590573387</v>
      </c>
      <c r="BY3" s="46">
        <f t="shared" ref="BY3:BY74" si="40">IFERROR(BD3/$P3,"")</f>
        <v>0.70236851271334033</v>
      </c>
      <c r="BZ3" s="47">
        <f t="shared" ref="BZ3:BZ74" si="41">IFERROR(BE3/$Q3,"")</f>
        <v>0.42493877338335678</v>
      </c>
      <c r="CA3" s="46">
        <f t="shared" ref="CA3:CA74" si="42">IFERROR(BF3/$M3,"")</f>
        <v>0.15345207883689491</v>
      </c>
      <c r="CB3" s="46">
        <f t="shared" ref="CB3:CB74" si="43">IFERROR(BG3/$N3,"")</f>
        <v>0.27109442386726879</v>
      </c>
      <c r="CC3" s="46">
        <f t="shared" ref="CC3:CC74" si="44">IFERROR(BH3/$O3,"")</f>
        <v>0.44454142607761515</v>
      </c>
      <c r="CD3" s="46">
        <f t="shared" ref="CD3:CD74" si="45">IFERROR(BI3/$P3,"")</f>
        <v>0.6461598746081505</v>
      </c>
      <c r="CE3" s="47">
        <f t="shared" ref="CE3:CE74" si="46">IFERROR(BJ3/$Q3,"")</f>
        <v>0.33675755748602393</v>
      </c>
      <c r="CF3" s="46">
        <f t="shared" ref="CF3:CF74" si="47">IFERROR(BK3/$M3,"")</f>
        <v>0.10001660223418637</v>
      </c>
      <c r="CG3" s="46">
        <f t="shared" ref="CG3:CG74" si="48">IFERROR(BL3/$N3,"")</f>
        <v>0.16124613120909229</v>
      </c>
      <c r="CH3" s="46">
        <f t="shared" ref="CH3:CH74" si="49">IFERROR(BM3/$O3,"")</f>
        <v>0.27689002282798442</v>
      </c>
      <c r="CI3" s="46">
        <f t="shared" ref="CI3:CI74" si="50">IFERROR(BN3/$P3,"")</f>
        <v>0.47204806687565309</v>
      </c>
      <c r="CJ3" s="47">
        <f t="shared" ref="CJ3:CJ74" si="51">IFERROR(BO3/$Q3,"")</f>
        <v>0.22081035008969979</v>
      </c>
      <c r="CK3" s="46">
        <f t="shared" ref="CK3:CN18" si="52">IFERROR((BQ3+BV3+CA3+CF3)/4,"")</f>
        <v>0.20874937741621802</v>
      </c>
      <c r="CL3" s="46">
        <f t="shared" si="52"/>
        <v>0.33301410523111269</v>
      </c>
      <c r="CM3" s="46">
        <f t="shared" si="52"/>
        <v>0.4878474553511481</v>
      </c>
      <c r="CN3" s="46">
        <f t="shared" si="52"/>
        <v>0.65379005572971083</v>
      </c>
      <c r="CO3" s="47">
        <f t="shared" ref="CO3:CO74" si="53">IFERROR((BZ3+CE3+CJ3+BU3)/4,"")</f>
        <v>0.38318929259995382</v>
      </c>
      <c r="CP3" s="48"/>
    </row>
    <row r="4" spans="1:94" ht="30.75" customHeight="1" x14ac:dyDescent="0.3">
      <c r="A4" s="49">
        <v>1</v>
      </c>
      <c r="B4" s="50" t="s">
        <v>34</v>
      </c>
      <c r="C4" s="50" t="s">
        <v>35</v>
      </c>
      <c r="D4" s="51">
        <v>45901</v>
      </c>
      <c r="E4" s="52">
        <v>297</v>
      </c>
      <c r="F4" s="52">
        <v>272</v>
      </c>
      <c r="G4" s="53">
        <f t="shared" si="1"/>
        <v>0.91582491582491588</v>
      </c>
      <c r="H4" s="52">
        <v>8947</v>
      </c>
      <c r="I4" s="52">
        <v>8694</v>
      </c>
      <c r="J4" s="52">
        <v>6927</v>
      </c>
      <c r="K4" s="52">
        <v>5441</v>
      </c>
      <c r="L4" s="54">
        <f t="shared" si="3"/>
        <v>30009</v>
      </c>
      <c r="M4" s="52">
        <v>8649</v>
      </c>
      <c r="N4" s="52">
        <v>8548</v>
      </c>
      <c r="O4" s="52">
        <v>6815</v>
      </c>
      <c r="P4" s="52">
        <v>5389</v>
      </c>
      <c r="Q4" s="54">
        <f t="shared" si="5"/>
        <v>29401</v>
      </c>
      <c r="R4" s="52">
        <v>707</v>
      </c>
      <c r="S4" s="52">
        <v>167</v>
      </c>
      <c r="T4" s="52">
        <v>33</v>
      </c>
      <c r="U4" s="52">
        <v>37</v>
      </c>
      <c r="V4" s="55">
        <f t="shared" si="7"/>
        <v>944</v>
      </c>
      <c r="W4" s="52">
        <v>2807</v>
      </c>
      <c r="X4" s="52">
        <v>1212</v>
      </c>
      <c r="Y4" s="52">
        <v>443</v>
      </c>
      <c r="Z4" s="52">
        <v>96</v>
      </c>
      <c r="AA4" s="55">
        <f t="shared" si="9"/>
        <v>4558</v>
      </c>
      <c r="AB4" s="52">
        <v>3929</v>
      </c>
      <c r="AC4" s="52">
        <v>3645</v>
      </c>
      <c r="AD4" s="52">
        <v>1855</v>
      </c>
      <c r="AE4" s="52">
        <v>544</v>
      </c>
      <c r="AF4" s="55">
        <f t="shared" si="11"/>
        <v>9973</v>
      </c>
      <c r="AG4" s="52">
        <v>1206</v>
      </c>
      <c r="AH4" s="52">
        <v>3524</v>
      </c>
      <c r="AI4" s="52">
        <v>4484</v>
      </c>
      <c r="AJ4" s="52">
        <v>4712</v>
      </c>
      <c r="AK4" s="55">
        <f t="shared" si="13"/>
        <v>13926</v>
      </c>
      <c r="AL4" s="56">
        <f t="shared" si="14"/>
        <v>0.45427217019308591</v>
      </c>
      <c r="AM4" s="56">
        <f t="shared" si="15"/>
        <v>0.42641553579784747</v>
      </c>
      <c r="AN4" s="56">
        <f t="shared" si="16"/>
        <v>0.27219369038884811</v>
      </c>
      <c r="AO4" s="56">
        <f t="shared" si="17"/>
        <v>0.10094637223974763</v>
      </c>
      <c r="AP4" s="57">
        <f t="shared" si="18"/>
        <v>0.33920614945069893</v>
      </c>
      <c r="AQ4" s="56">
        <f t="shared" si="19"/>
        <v>0.13943808532778357</v>
      </c>
      <c r="AR4" s="56">
        <f t="shared" si="20"/>
        <v>0.41226017781937296</v>
      </c>
      <c r="AS4" s="56">
        <f t="shared" si="21"/>
        <v>0.65796038151137193</v>
      </c>
      <c r="AT4" s="56">
        <f t="shared" si="22"/>
        <v>0.87437372425310822</v>
      </c>
      <c r="AU4" s="57">
        <f t="shared" si="23"/>
        <v>0.47365735859324515</v>
      </c>
      <c r="AV4" s="52">
        <v>2487</v>
      </c>
      <c r="AW4" s="52">
        <v>4612</v>
      </c>
      <c r="AX4" s="52">
        <v>5317</v>
      </c>
      <c r="AY4" s="52">
        <v>4963</v>
      </c>
      <c r="AZ4" s="58">
        <f t="shared" si="25"/>
        <v>17379</v>
      </c>
      <c r="BA4" s="52">
        <v>1947</v>
      </c>
      <c r="BB4" s="52">
        <v>3284</v>
      </c>
      <c r="BC4" s="52">
        <v>3923</v>
      </c>
      <c r="BD4" s="52">
        <v>4335</v>
      </c>
      <c r="BE4" s="59">
        <f t="shared" si="27"/>
        <v>13489</v>
      </c>
      <c r="BF4" s="52">
        <v>974</v>
      </c>
      <c r="BG4" s="52">
        <v>1963</v>
      </c>
      <c r="BH4" s="52">
        <v>3006</v>
      </c>
      <c r="BI4" s="52">
        <v>3890</v>
      </c>
      <c r="BJ4" s="60">
        <f t="shared" si="29"/>
        <v>9833</v>
      </c>
      <c r="BK4" s="52">
        <v>649</v>
      </c>
      <c r="BL4" s="52">
        <v>1075</v>
      </c>
      <c r="BM4" s="52">
        <v>1749</v>
      </c>
      <c r="BN4" s="52">
        <v>2698</v>
      </c>
      <c r="BO4" s="55">
        <f t="shared" si="31"/>
        <v>6171</v>
      </c>
      <c r="BP4" s="61"/>
      <c r="BQ4" s="62">
        <f t="shared" si="32"/>
        <v>0.28754769337495667</v>
      </c>
      <c r="BR4" s="62">
        <f t="shared" si="33"/>
        <v>0.5395414131960693</v>
      </c>
      <c r="BS4" s="62">
        <f t="shared" si="34"/>
        <v>0.78019075568598684</v>
      </c>
      <c r="BT4" s="62">
        <f t="shared" si="35"/>
        <v>0.92095008350343288</v>
      </c>
      <c r="BU4" s="63">
        <f t="shared" si="36"/>
        <v>0.59110234345770551</v>
      </c>
      <c r="BV4" s="62">
        <f t="shared" si="37"/>
        <v>0.22511272979535207</v>
      </c>
      <c r="BW4" s="62">
        <f t="shared" si="38"/>
        <v>0.38418343472157229</v>
      </c>
      <c r="BX4" s="62">
        <f t="shared" si="39"/>
        <v>0.57564196625091713</v>
      </c>
      <c r="BY4" s="62">
        <f t="shared" si="40"/>
        <v>0.80441640378548895</v>
      </c>
      <c r="BZ4" s="64">
        <f t="shared" si="41"/>
        <v>0.45879391857419816</v>
      </c>
      <c r="CA4" s="62">
        <f t="shared" si="42"/>
        <v>0.11261417504913863</v>
      </c>
      <c r="CB4" s="62">
        <f t="shared" si="43"/>
        <v>0.22964436125409451</v>
      </c>
      <c r="CC4" s="62">
        <f t="shared" si="44"/>
        <v>0.44108584005869406</v>
      </c>
      <c r="CD4" s="62">
        <f t="shared" si="45"/>
        <v>0.72184078678790131</v>
      </c>
      <c r="CE4" s="65">
        <f t="shared" si="46"/>
        <v>0.33444440665283492</v>
      </c>
      <c r="CF4" s="62">
        <f t="shared" si="47"/>
        <v>7.5037576598450687E-2</v>
      </c>
      <c r="CG4" s="62">
        <f t="shared" si="48"/>
        <v>0.1257604117922321</v>
      </c>
      <c r="CH4" s="62">
        <f t="shared" si="49"/>
        <v>0.25663976522377108</v>
      </c>
      <c r="CI4" s="62">
        <f t="shared" si="50"/>
        <v>0.50064947114492486</v>
      </c>
      <c r="CJ4" s="66">
        <f t="shared" si="51"/>
        <v>0.20989082004013468</v>
      </c>
      <c r="CK4" s="62">
        <f t="shared" si="52"/>
        <v>0.1750780437044745</v>
      </c>
      <c r="CL4" s="62">
        <f t="shared" si="52"/>
        <v>0.31978240524099211</v>
      </c>
      <c r="CM4" s="62">
        <f t="shared" si="52"/>
        <v>0.51338958180484229</v>
      </c>
      <c r="CN4" s="62">
        <f t="shared" si="52"/>
        <v>0.73696418630543703</v>
      </c>
      <c r="CO4" s="67">
        <f t="shared" si="53"/>
        <v>0.3985578721812183</v>
      </c>
      <c r="CP4" s="48"/>
    </row>
    <row r="5" spans="1:94" ht="30.75" customHeight="1" x14ac:dyDescent="0.3">
      <c r="A5" s="49">
        <v>2</v>
      </c>
      <c r="B5" s="50" t="s">
        <v>34</v>
      </c>
      <c r="C5" s="50" t="s">
        <v>36</v>
      </c>
      <c r="D5" s="51">
        <v>45901</v>
      </c>
      <c r="E5" s="52">
        <v>272</v>
      </c>
      <c r="F5" s="52">
        <v>266</v>
      </c>
      <c r="G5" s="53">
        <f t="shared" si="1"/>
        <v>0.9779411764705882</v>
      </c>
      <c r="H5" s="52">
        <v>13100</v>
      </c>
      <c r="I5" s="52">
        <v>12444</v>
      </c>
      <c r="J5" s="52">
        <v>8861</v>
      </c>
      <c r="K5" s="52">
        <v>7044</v>
      </c>
      <c r="L5" s="54">
        <f t="shared" si="3"/>
        <v>41449</v>
      </c>
      <c r="M5" s="52">
        <v>12069</v>
      </c>
      <c r="N5" s="52">
        <v>11658</v>
      </c>
      <c r="O5" s="52">
        <v>8429</v>
      </c>
      <c r="P5" s="52">
        <v>6719</v>
      </c>
      <c r="Q5" s="54">
        <f t="shared" si="5"/>
        <v>38875</v>
      </c>
      <c r="R5" s="52">
        <v>447</v>
      </c>
      <c r="S5" s="52">
        <v>167</v>
      </c>
      <c r="T5" s="52">
        <v>20</v>
      </c>
      <c r="U5" s="52">
        <v>15</v>
      </c>
      <c r="V5" s="55">
        <f t="shared" si="7"/>
        <v>649</v>
      </c>
      <c r="W5" s="52">
        <v>1891</v>
      </c>
      <c r="X5" s="52">
        <v>1271</v>
      </c>
      <c r="Y5" s="52">
        <v>335</v>
      </c>
      <c r="Z5" s="52">
        <v>51</v>
      </c>
      <c r="AA5" s="55">
        <f t="shared" si="9"/>
        <v>3548</v>
      </c>
      <c r="AB5" s="52">
        <v>4356</v>
      </c>
      <c r="AC5" s="52">
        <v>3822</v>
      </c>
      <c r="AD5" s="52">
        <v>1872</v>
      </c>
      <c r="AE5" s="52">
        <v>589</v>
      </c>
      <c r="AF5" s="55">
        <f t="shared" si="11"/>
        <v>10639</v>
      </c>
      <c r="AG5" s="52">
        <v>5375</v>
      </c>
      <c r="AH5" s="52">
        <v>6398</v>
      </c>
      <c r="AI5" s="52">
        <v>6202</v>
      </c>
      <c r="AJ5" s="52">
        <v>6064</v>
      </c>
      <c r="AK5" s="55">
        <f t="shared" si="13"/>
        <v>24039</v>
      </c>
      <c r="AL5" s="56">
        <f t="shared" si="14"/>
        <v>0.36092468307233405</v>
      </c>
      <c r="AM5" s="56">
        <f t="shared" si="15"/>
        <v>0.32784354091610912</v>
      </c>
      <c r="AN5" s="56">
        <f t="shared" si="16"/>
        <v>0.22209040218293985</v>
      </c>
      <c r="AO5" s="56">
        <f t="shared" si="17"/>
        <v>8.7661854442625392E-2</v>
      </c>
      <c r="AP5" s="57">
        <f t="shared" si="18"/>
        <v>0.27367202572347266</v>
      </c>
      <c r="AQ5" s="56">
        <f t="shared" si="19"/>
        <v>0.4453558704117988</v>
      </c>
      <c r="AR5" s="56">
        <f t="shared" si="20"/>
        <v>0.5488076857093841</v>
      </c>
      <c r="AS5" s="56">
        <f t="shared" si="21"/>
        <v>0.7357930952663424</v>
      </c>
      <c r="AT5" s="56">
        <f t="shared" si="22"/>
        <v>0.90251525524631637</v>
      </c>
      <c r="AU5" s="57">
        <f t="shared" si="23"/>
        <v>0.61836655948553054</v>
      </c>
      <c r="AV5" s="52">
        <v>4529</v>
      </c>
      <c r="AW5" s="52">
        <v>5608</v>
      </c>
      <c r="AX5" s="52">
        <v>4840</v>
      </c>
      <c r="AY5" s="52">
        <v>4042</v>
      </c>
      <c r="AZ5" s="58">
        <f t="shared" si="25"/>
        <v>19019</v>
      </c>
      <c r="BA5" s="52">
        <v>3651</v>
      </c>
      <c r="BB5" s="52">
        <v>4247</v>
      </c>
      <c r="BC5" s="52">
        <v>3925</v>
      </c>
      <c r="BD5" s="52">
        <v>3853</v>
      </c>
      <c r="BE5" s="59">
        <f t="shared" si="27"/>
        <v>15676</v>
      </c>
      <c r="BF5" s="52">
        <v>2490</v>
      </c>
      <c r="BG5" s="52">
        <v>3893</v>
      </c>
      <c r="BH5" s="52">
        <v>3862</v>
      </c>
      <c r="BI5" s="52">
        <v>3731</v>
      </c>
      <c r="BJ5" s="60">
        <f t="shared" si="29"/>
        <v>13976</v>
      </c>
      <c r="BK5" s="52">
        <v>1436</v>
      </c>
      <c r="BL5" s="52">
        <v>2315</v>
      </c>
      <c r="BM5" s="52">
        <v>2557</v>
      </c>
      <c r="BN5" s="52">
        <v>2963</v>
      </c>
      <c r="BO5" s="55">
        <f t="shared" si="31"/>
        <v>9271</v>
      </c>
      <c r="BP5" s="61"/>
      <c r="BQ5" s="62">
        <f t="shared" si="32"/>
        <v>0.37525892783163478</v>
      </c>
      <c r="BR5" s="62">
        <f t="shared" si="33"/>
        <v>0.4810430605592726</v>
      </c>
      <c r="BS5" s="62">
        <f t="shared" si="34"/>
        <v>0.57420809111401117</v>
      </c>
      <c r="BT5" s="62">
        <f t="shared" si="35"/>
        <v>0.60157761571662449</v>
      </c>
      <c r="BU5" s="63">
        <f t="shared" si="36"/>
        <v>0.48923472668810292</v>
      </c>
      <c r="BV5" s="62">
        <f t="shared" si="37"/>
        <v>0.30251056425553069</v>
      </c>
      <c r="BW5" s="62">
        <f t="shared" si="38"/>
        <v>0.36429919368673874</v>
      </c>
      <c r="BX5" s="62">
        <f t="shared" si="39"/>
        <v>0.46565428876497805</v>
      </c>
      <c r="BY5" s="62">
        <f t="shared" si="40"/>
        <v>0.57344842982586697</v>
      </c>
      <c r="BZ5" s="64">
        <f t="shared" si="41"/>
        <v>0.4032411575562701</v>
      </c>
      <c r="CA5" s="62">
        <f t="shared" si="42"/>
        <v>0.20631369624658216</v>
      </c>
      <c r="CB5" s="62">
        <f t="shared" si="43"/>
        <v>0.33393377937896723</v>
      </c>
      <c r="CC5" s="62">
        <f t="shared" si="44"/>
        <v>0.45818009253766756</v>
      </c>
      <c r="CD5" s="62">
        <f t="shared" si="45"/>
        <v>0.55529096591754723</v>
      </c>
      <c r="CE5" s="65">
        <f t="shared" si="46"/>
        <v>0.35951125401929263</v>
      </c>
      <c r="CF5" s="62">
        <f t="shared" si="47"/>
        <v>0.11898251719280802</v>
      </c>
      <c r="CG5" s="62">
        <f t="shared" si="48"/>
        <v>0.19857608509178246</v>
      </c>
      <c r="CH5" s="62">
        <f t="shared" si="49"/>
        <v>0.30335745640052203</v>
      </c>
      <c r="CI5" s="62">
        <f t="shared" si="50"/>
        <v>0.44098824229796102</v>
      </c>
      <c r="CJ5" s="66">
        <f t="shared" si="51"/>
        <v>0.2384823151125402</v>
      </c>
      <c r="CK5" s="62">
        <f t="shared" si="52"/>
        <v>0.25076642638163893</v>
      </c>
      <c r="CL5" s="62">
        <f t="shared" si="52"/>
        <v>0.34446302967919024</v>
      </c>
      <c r="CM5" s="62">
        <f t="shared" si="52"/>
        <v>0.45034998220429467</v>
      </c>
      <c r="CN5" s="62">
        <f t="shared" si="52"/>
        <v>0.54282631343949994</v>
      </c>
      <c r="CO5" s="67">
        <f t="shared" si="53"/>
        <v>0.37261736334405149</v>
      </c>
      <c r="CP5" s="48"/>
    </row>
    <row r="6" spans="1:94" ht="30.75" customHeight="1" x14ac:dyDescent="0.3">
      <c r="A6" s="49">
        <v>3</v>
      </c>
      <c r="B6" s="50" t="s">
        <v>34</v>
      </c>
      <c r="C6" s="50" t="s">
        <v>37</v>
      </c>
      <c r="D6" s="51">
        <v>45901</v>
      </c>
      <c r="E6" s="52">
        <v>147</v>
      </c>
      <c r="F6" s="52">
        <v>147</v>
      </c>
      <c r="G6" s="53">
        <f t="shared" si="1"/>
        <v>1</v>
      </c>
      <c r="H6" s="52">
        <v>4241</v>
      </c>
      <c r="I6" s="52">
        <v>4055</v>
      </c>
      <c r="J6" s="52">
        <v>2986</v>
      </c>
      <c r="K6" s="52">
        <v>2001</v>
      </c>
      <c r="L6" s="54">
        <f t="shared" si="3"/>
        <v>13283</v>
      </c>
      <c r="M6" s="52">
        <v>4043</v>
      </c>
      <c r="N6" s="52">
        <v>3965</v>
      </c>
      <c r="O6" s="52">
        <v>2883</v>
      </c>
      <c r="P6" s="52">
        <v>1976</v>
      </c>
      <c r="Q6" s="54">
        <f t="shared" si="5"/>
        <v>12867</v>
      </c>
      <c r="R6" s="52">
        <v>185</v>
      </c>
      <c r="S6" s="52">
        <v>78</v>
      </c>
      <c r="T6" s="52">
        <v>11</v>
      </c>
      <c r="U6" s="52">
        <v>5</v>
      </c>
      <c r="V6" s="55">
        <f t="shared" si="7"/>
        <v>279</v>
      </c>
      <c r="W6" s="52">
        <v>723</v>
      </c>
      <c r="X6" s="52">
        <v>577</v>
      </c>
      <c r="Y6" s="52">
        <v>161</v>
      </c>
      <c r="Z6" s="52">
        <v>16</v>
      </c>
      <c r="AA6" s="55">
        <f t="shared" si="9"/>
        <v>1477</v>
      </c>
      <c r="AB6" s="52">
        <v>1443</v>
      </c>
      <c r="AC6" s="52">
        <v>1311</v>
      </c>
      <c r="AD6" s="52">
        <v>589</v>
      </c>
      <c r="AE6" s="52">
        <v>165</v>
      </c>
      <c r="AF6" s="55">
        <f t="shared" si="11"/>
        <v>3508</v>
      </c>
      <c r="AG6" s="52">
        <v>1620</v>
      </c>
      <c r="AH6" s="52">
        <v>1942</v>
      </c>
      <c r="AI6" s="52">
        <v>2031</v>
      </c>
      <c r="AJ6" s="52">
        <v>1703</v>
      </c>
      <c r="AK6" s="55">
        <f t="shared" si="13"/>
        <v>7296</v>
      </c>
      <c r="AL6" s="56">
        <f t="shared" si="14"/>
        <v>0.35691318327974275</v>
      </c>
      <c r="AM6" s="56">
        <f t="shared" si="15"/>
        <v>0.33064312736443885</v>
      </c>
      <c r="AN6" s="56">
        <f t="shared" si="16"/>
        <v>0.20430107526881722</v>
      </c>
      <c r="AO6" s="56">
        <f t="shared" si="17"/>
        <v>8.3502024291497973E-2</v>
      </c>
      <c r="AP6" s="57">
        <f t="shared" si="18"/>
        <v>0.27263542395274731</v>
      </c>
      <c r="AQ6" s="56">
        <f t="shared" si="19"/>
        <v>0.40069255503339107</v>
      </c>
      <c r="AR6" s="56">
        <f t="shared" si="20"/>
        <v>0.48978562421185373</v>
      </c>
      <c r="AS6" s="56">
        <f t="shared" si="21"/>
        <v>0.70447450572320502</v>
      </c>
      <c r="AT6" s="56">
        <f t="shared" si="22"/>
        <v>0.86184210526315785</v>
      </c>
      <c r="AU6" s="57">
        <f t="shared" si="23"/>
        <v>0.56703194217766384</v>
      </c>
      <c r="AV6" s="52">
        <v>1629</v>
      </c>
      <c r="AW6" s="52">
        <v>2507</v>
      </c>
      <c r="AX6" s="52">
        <v>2251</v>
      </c>
      <c r="AY6" s="52">
        <v>1692</v>
      </c>
      <c r="AZ6" s="58">
        <f t="shared" si="25"/>
        <v>8079</v>
      </c>
      <c r="BA6" s="52">
        <v>1176</v>
      </c>
      <c r="BB6" s="52">
        <v>1652</v>
      </c>
      <c r="BC6" s="52">
        <v>1669</v>
      </c>
      <c r="BD6" s="52">
        <v>1545</v>
      </c>
      <c r="BE6" s="59">
        <f t="shared" si="27"/>
        <v>6042</v>
      </c>
      <c r="BF6" s="52">
        <v>452</v>
      </c>
      <c r="BG6" s="52">
        <v>1102</v>
      </c>
      <c r="BH6" s="52">
        <v>1599</v>
      </c>
      <c r="BI6" s="52">
        <v>1561</v>
      </c>
      <c r="BJ6" s="60">
        <f t="shared" si="29"/>
        <v>4714</v>
      </c>
      <c r="BK6" s="52">
        <v>184</v>
      </c>
      <c r="BL6" s="52">
        <v>429</v>
      </c>
      <c r="BM6" s="52">
        <v>866</v>
      </c>
      <c r="BN6" s="52">
        <v>1232</v>
      </c>
      <c r="BO6" s="55">
        <f t="shared" si="31"/>
        <v>2711</v>
      </c>
      <c r="BP6" s="61"/>
      <c r="BQ6" s="62">
        <f t="shared" si="32"/>
        <v>0.40291862478357654</v>
      </c>
      <c r="BR6" s="62">
        <f t="shared" si="33"/>
        <v>0.6322824716267339</v>
      </c>
      <c r="BS6" s="62">
        <f t="shared" si="34"/>
        <v>0.78078390565383282</v>
      </c>
      <c r="BT6" s="62">
        <f t="shared" si="35"/>
        <v>0.85627530364372473</v>
      </c>
      <c r="BU6" s="63">
        <f t="shared" si="36"/>
        <v>0.62788528794590814</v>
      </c>
      <c r="BV6" s="62">
        <f t="shared" si="37"/>
        <v>0.29087311402423943</v>
      </c>
      <c r="BW6" s="62">
        <f t="shared" si="38"/>
        <v>0.41664564943253468</v>
      </c>
      <c r="BX6" s="62">
        <f t="shared" si="39"/>
        <v>0.57891085674644471</v>
      </c>
      <c r="BY6" s="62">
        <f t="shared" si="40"/>
        <v>0.78188259109311742</v>
      </c>
      <c r="BZ6" s="64">
        <f t="shared" si="41"/>
        <v>0.46957332711587785</v>
      </c>
      <c r="CA6" s="62">
        <f t="shared" si="42"/>
        <v>0.11179816967598318</v>
      </c>
      <c r="CB6" s="62">
        <f t="shared" si="43"/>
        <v>0.27793190416141234</v>
      </c>
      <c r="CC6" s="62">
        <f t="shared" si="44"/>
        <v>0.55463059313215402</v>
      </c>
      <c r="CD6" s="62">
        <f t="shared" si="45"/>
        <v>0.78997975708502022</v>
      </c>
      <c r="CE6" s="65">
        <f t="shared" si="46"/>
        <v>0.36636356571073286</v>
      </c>
      <c r="CF6" s="62">
        <f t="shared" si="47"/>
        <v>4.5510759337125894E-2</v>
      </c>
      <c r="CG6" s="62">
        <f t="shared" si="48"/>
        <v>0.10819672131147541</v>
      </c>
      <c r="CH6" s="62">
        <f t="shared" si="49"/>
        <v>0.30038154699965314</v>
      </c>
      <c r="CI6" s="62">
        <f t="shared" si="50"/>
        <v>0.62348178137651822</v>
      </c>
      <c r="CJ6" s="66">
        <f t="shared" si="51"/>
        <v>0.21069402347089453</v>
      </c>
      <c r="CK6" s="62">
        <f t="shared" si="52"/>
        <v>0.21277516695523127</v>
      </c>
      <c r="CL6" s="62">
        <f t="shared" si="52"/>
        <v>0.35876418663303905</v>
      </c>
      <c r="CM6" s="62">
        <f t="shared" si="52"/>
        <v>0.55367672563302117</v>
      </c>
      <c r="CN6" s="62">
        <f t="shared" si="52"/>
        <v>0.76290485829959509</v>
      </c>
      <c r="CO6" s="67">
        <f t="shared" si="53"/>
        <v>0.41862905106085335</v>
      </c>
      <c r="CP6" s="48"/>
    </row>
    <row r="7" spans="1:94" ht="30.75" customHeight="1" x14ac:dyDescent="0.3">
      <c r="A7" s="49">
        <v>4</v>
      </c>
      <c r="B7" s="50" t="s">
        <v>34</v>
      </c>
      <c r="C7" s="50" t="s">
        <v>38</v>
      </c>
      <c r="D7" s="51">
        <v>45901</v>
      </c>
      <c r="E7" s="52">
        <v>185</v>
      </c>
      <c r="F7" s="52">
        <v>185</v>
      </c>
      <c r="G7" s="53">
        <f t="shared" si="1"/>
        <v>1</v>
      </c>
      <c r="H7" s="52">
        <v>6292</v>
      </c>
      <c r="I7" s="52">
        <v>5147</v>
      </c>
      <c r="J7" s="52">
        <v>3539</v>
      </c>
      <c r="K7" s="52">
        <v>2663</v>
      </c>
      <c r="L7" s="54">
        <f t="shared" si="3"/>
        <v>17641</v>
      </c>
      <c r="M7" s="52">
        <v>5962</v>
      </c>
      <c r="N7" s="52">
        <v>4881</v>
      </c>
      <c r="O7" s="52">
        <v>3395</v>
      </c>
      <c r="P7" s="52">
        <v>2557</v>
      </c>
      <c r="Q7" s="54">
        <f t="shared" si="5"/>
        <v>16795</v>
      </c>
      <c r="R7" s="52">
        <v>462</v>
      </c>
      <c r="S7" s="52">
        <v>85</v>
      </c>
      <c r="T7" s="52">
        <v>20</v>
      </c>
      <c r="U7" s="52">
        <v>9</v>
      </c>
      <c r="V7" s="55">
        <f t="shared" si="7"/>
        <v>576</v>
      </c>
      <c r="W7" s="52">
        <v>2193</v>
      </c>
      <c r="X7" s="52">
        <v>763</v>
      </c>
      <c r="Y7" s="52">
        <v>201</v>
      </c>
      <c r="Z7" s="52">
        <v>39</v>
      </c>
      <c r="AA7" s="55">
        <f t="shared" si="9"/>
        <v>3196</v>
      </c>
      <c r="AB7" s="52">
        <v>2603</v>
      </c>
      <c r="AC7" s="52">
        <v>2037</v>
      </c>
      <c r="AD7" s="52">
        <v>1111</v>
      </c>
      <c r="AE7" s="52">
        <v>394</v>
      </c>
      <c r="AF7" s="55">
        <f t="shared" si="11"/>
        <v>6145</v>
      </c>
      <c r="AG7" s="52">
        <v>704</v>
      </c>
      <c r="AH7" s="52">
        <v>1996</v>
      </c>
      <c r="AI7" s="52">
        <v>2063</v>
      </c>
      <c r="AJ7" s="52">
        <v>2115</v>
      </c>
      <c r="AK7" s="55">
        <f t="shared" si="13"/>
        <v>6878</v>
      </c>
      <c r="AL7" s="56">
        <f t="shared" si="14"/>
        <v>0.43659845689365984</v>
      </c>
      <c r="AM7" s="56">
        <f t="shared" si="15"/>
        <v>0.41733251382913339</v>
      </c>
      <c r="AN7" s="56">
        <f t="shared" si="16"/>
        <v>0.3272459499263623</v>
      </c>
      <c r="AO7" s="56">
        <f t="shared" si="17"/>
        <v>0.15408682049276495</v>
      </c>
      <c r="AP7" s="57">
        <f t="shared" si="18"/>
        <v>0.36588270318547189</v>
      </c>
      <c r="AQ7" s="56">
        <f t="shared" si="19"/>
        <v>0.11808118081180811</v>
      </c>
      <c r="AR7" s="56">
        <f t="shared" si="20"/>
        <v>0.40893259577955338</v>
      </c>
      <c r="AS7" s="56">
        <f t="shared" si="21"/>
        <v>0.60765832106038287</v>
      </c>
      <c r="AT7" s="56">
        <f t="shared" si="22"/>
        <v>0.8271411810715682</v>
      </c>
      <c r="AU7" s="57">
        <f t="shared" si="23"/>
        <v>0.40952664483477225</v>
      </c>
      <c r="AV7" s="52">
        <v>1425</v>
      </c>
      <c r="AW7" s="52">
        <v>2330</v>
      </c>
      <c r="AX7" s="52">
        <v>2341</v>
      </c>
      <c r="AY7" s="52">
        <v>2116</v>
      </c>
      <c r="AZ7" s="58">
        <f t="shared" si="25"/>
        <v>8212</v>
      </c>
      <c r="BA7" s="52">
        <v>1048</v>
      </c>
      <c r="BB7" s="52">
        <v>1476</v>
      </c>
      <c r="BC7" s="52">
        <v>1644</v>
      </c>
      <c r="BD7" s="52">
        <v>1727</v>
      </c>
      <c r="BE7" s="59">
        <f t="shared" si="27"/>
        <v>5895</v>
      </c>
      <c r="BF7" s="52">
        <v>668</v>
      </c>
      <c r="BG7" s="52">
        <v>996</v>
      </c>
      <c r="BH7" s="52">
        <v>1215</v>
      </c>
      <c r="BI7" s="52">
        <v>1533</v>
      </c>
      <c r="BJ7" s="60">
        <f t="shared" si="29"/>
        <v>4412</v>
      </c>
      <c r="BK7" s="52">
        <v>434</v>
      </c>
      <c r="BL7" s="52">
        <v>662</v>
      </c>
      <c r="BM7" s="52">
        <v>760</v>
      </c>
      <c r="BN7" s="52">
        <v>1096</v>
      </c>
      <c r="BO7" s="55">
        <f t="shared" si="31"/>
        <v>2952</v>
      </c>
      <c r="BP7" s="61"/>
      <c r="BQ7" s="62">
        <f t="shared" si="32"/>
        <v>0.23901375377390138</v>
      </c>
      <c r="BR7" s="62">
        <f t="shared" si="33"/>
        <v>0.47736119647613195</v>
      </c>
      <c r="BS7" s="62">
        <f t="shared" si="34"/>
        <v>0.68954344624447717</v>
      </c>
      <c r="BT7" s="62">
        <f t="shared" si="35"/>
        <v>0.82753226437231131</v>
      </c>
      <c r="BU7" s="63">
        <f t="shared" si="36"/>
        <v>0.48895504614468593</v>
      </c>
      <c r="BV7" s="62">
        <f t="shared" si="37"/>
        <v>0.17577993961757798</v>
      </c>
      <c r="BW7" s="62">
        <f t="shared" si="38"/>
        <v>0.30239704978488013</v>
      </c>
      <c r="BX7" s="62">
        <f t="shared" si="39"/>
        <v>0.48424153166421208</v>
      </c>
      <c r="BY7" s="62">
        <f t="shared" si="40"/>
        <v>0.67540086038326164</v>
      </c>
      <c r="BZ7" s="64">
        <f t="shared" si="41"/>
        <v>0.3509973206311402</v>
      </c>
      <c r="CA7" s="62">
        <f t="shared" si="42"/>
        <v>0.11204293861120429</v>
      </c>
      <c r="CB7" s="62">
        <f t="shared" si="43"/>
        <v>0.20405654578979718</v>
      </c>
      <c r="CC7" s="62">
        <f t="shared" si="44"/>
        <v>0.35787923416789397</v>
      </c>
      <c r="CD7" s="62">
        <f t="shared" si="45"/>
        <v>0.59953070003910836</v>
      </c>
      <c r="CE7" s="65">
        <f t="shared" si="46"/>
        <v>0.26269723131884487</v>
      </c>
      <c r="CF7" s="62">
        <f t="shared" si="47"/>
        <v>7.2794364307279438E-2</v>
      </c>
      <c r="CG7" s="62">
        <f t="shared" si="48"/>
        <v>0.1356279450932186</v>
      </c>
      <c r="CH7" s="62">
        <f t="shared" si="49"/>
        <v>0.22385861561119294</v>
      </c>
      <c r="CI7" s="62">
        <f t="shared" si="50"/>
        <v>0.42862729761439189</v>
      </c>
      <c r="CJ7" s="66">
        <f t="shared" si="51"/>
        <v>0.17576659720154808</v>
      </c>
      <c r="CK7" s="62">
        <f t="shared" si="52"/>
        <v>0.14990774907749077</v>
      </c>
      <c r="CL7" s="62">
        <f t="shared" si="52"/>
        <v>0.27986068428600697</v>
      </c>
      <c r="CM7" s="62">
        <f t="shared" si="52"/>
        <v>0.43888070692194409</v>
      </c>
      <c r="CN7" s="62">
        <f t="shared" si="52"/>
        <v>0.63277278060226838</v>
      </c>
      <c r="CO7" s="67">
        <f t="shared" si="53"/>
        <v>0.31960404882405474</v>
      </c>
      <c r="CP7" s="48"/>
    </row>
    <row r="8" spans="1:94" ht="30.75" customHeight="1" x14ac:dyDescent="0.3">
      <c r="A8" s="49">
        <v>5</v>
      </c>
      <c r="B8" s="50" t="s">
        <v>34</v>
      </c>
      <c r="C8" s="50" t="s">
        <v>39</v>
      </c>
      <c r="D8" s="51">
        <v>45901</v>
      </c>
      <c r="E8" s="52">
        <v>368</v>
      </c>
      <c r="F8" s="52">
        <v>360</v>
      </c>
      <c r="G8" s="53">
        <f t="shared" si="1"/>
        <v>0.97826086956521741</v>
      </c>
      <c r="H8" s="52">
        <v>12116</v>
      </c>
      <c r="I8" s="52">
        <v>10815</v>
      </c>
      <c r="J8" s="52">
        <v>8602</v>
      </c>
      <c r="K8" s="52">
        <v>6489</v>
      </c>
      <c r="L8" s="54">
        <f t="shared" si="3"/>
        <v>38022</v>
      </c>
      <c r="M8" s="52">
        <v>11440</v>
      </c>
      <c r="N8" s="52">
        <v>10366</v>
      </c>
      <c r="O8" s="52">
        <v>8266</v>
      </c>
      <c r="P8" s="52">
        <v>6327</v>
      </c>
      <c r="Q8" s="54">
        <f t="shared" si="5"/>
        <v>36399</v>
      </c>
      <c r="R8" s="52">
        <v>779</v>
      </c>
      <c r="S8" s="52">
        <v>188</v>
      </c>
      <c r="T8" s="52">
        <v>42</v>
      </c>
      <c r="U8" s="52">
        <v>8</v>
      </c>
      <c r="V8" s="55">
        <f t="shared" si="7"/>
        <v>1017</v>
      </c>
      <c r="W8" s="52">
        <v>3875</v>
      </c>
      <c r="X8" s="52">
        <v>1545</v>
      </c>
      <c r="Y8" s="52">
        <v>529</v>
      </c>
      <c r="Z8" s="52">
        <v>145</v>
      </c>
      <c r="AA8" s="55">
        <f t="shared" si="9"/>
        <v>6094</v>
      </c>
      <c r="AB8" s="52">
        <v>5212</v>
      </c>
      <c r="AC8" s="52">
        <v>4396</v>
      </c>
      <c r="AD8" s="52">
        <v>2436</v>
      </c>
      <c r="AE8" s="52">
        <v>877</v>
      </c>
      <c r="AF8" s="55">
        <f t="shared" si="11"/>
        <v>12921</v>
      </c>
      <c r="AG8" s="52">
        <v>1574</v>
      </c>
      <c r="AH8" s="52">
        <v>4237</v>
      </c>
      <c r="AI8" s="52">
        <v>5259</v>
      </c>
      <c r="AJ8" s="52">
        <v>5297</v>
      </c>
      <c r="AK8" s="55">
        <f t="shared" si="13"/>
        <v>16367</v>
      </c>
      <c r="AL8" s="56">
        <f t="shared" si="14"/>
        <v>0.45559440559440562</v>
      </c>
      <c r="AM8" s="56">
        <f t="shared" si="15"/>
        <v>0.42407871888867449</v>
      </c>
      <c r="AN8" s="56">
        <f t="shared" si="16"/>
        <v>0.29470118557948222</v>
      </c>
      <c r="AO8" s="56">
        <f t="shared" si="17"/>
        <v>0.13861229650703336</v>
      </c>
      <c r="AP8" s="57">
        <f t="shared" si="18"/>
        <v>0.3549822797329597</v>
      </c>
      <c r="AQ8" s="56">
        <f t="shared" si="19"/>
        <v>0.13758741258741258</v>
      </c>
      <c r="AR8" s="56">
        <f t="shared" si="20"/>
        <v>0.40874011190430254</v>
      </c>
      <c r="AS8" s="56">
        <f t="shared" si="21"/>
        <v>0.63622066295669011</v>
      </c>
      <c r="AT8" s="56">
        <f t="shared" si="22"/>
        <v>0.83720562667931087</v>
      </c>
      <c r="AU8" s="57">
        <f t="shared" si="23"/>
        <v>0.44965521030797551</v>
      </c>
      <c r="AV8" s="52">
        <v>3778</v>
      </c>
      <c r="AW8" s="52">
        <v>5738</v>
      </c>
      <c r="AX8" s="52">
        <v>6277</v>
      </c>
      <c r="AY8" s="52">
        <v>5437</v>
      </c>
      <c r="AZ8" s="58">
        <f t="shared" si="25"/>
        <v>21230</v>
      </c>
      <c r="BA8" s="52">
        <v>2849</v>
      </c>
      <c r="BB8" s="52">
        <v>4011</v>
      </c>
      <c r="BC8" s="52">
        <v>4451</v>
      </c>
      <c r="BD8" s="52">
        <v>4672</v>
      </c>
      <c r="BE8" s="59">
        <f t="shared" si="27"/>
        <v>15983</v>
      </c>
      <c r="BF8" s="52">
        <v>1886</v>
      </c>
      <c r="BG8" s="52">
        <v>2732</v>
      </c>
      <c r="BH8" s="52">
        <v>3560</v>
      </c>
      <c r="BI8" s="52">
        <v>4126</v>
      </c>
      <c r="BJ8" s="60">
        <f t="shared" si="29"/>
        <v>12304</v>
      </c>
      <c r="BK8" s="52">
        <v>1514</v>
      </c>
      <c r="BL8" s="52">
        <v>1875</v>
      </c>
      <c r="BM8" s="52">
        <v>2316</v>
      </c>
      <c r="BN8" s="52">
        <v>2853</v>
      </c>
      <c r="BO8" s="55">
        <f t="shared" si="31"/>
        <v>8558</v>
      </c>
      <c r="BP8" s="61"/>
      <c r="BQ8" s="62">
        <f t="shared" si="32"/>
        <v>0.33024475524475522</v>
      </c>
      <c r="BR8" s="62">
        <f t="shared" si="33"/>
        <v>0.55354042060582676</v>
      </c>
      <c r="BS8" s="62">
        <f t="shared" si="34"/>
        <v>0.7593757561093637</v>
      </c>
      <c r="BT8" s="62">
        <f t="shared" si="35"/>
        <v>0.85933301722775401</v>
      </c>
      <c r="BU8" s="63">
        <f t="shared" si="36"/>
        <v>0.58325778180719245</v>
      </c>
      <c r="BV8" s="62">
        <f t="shared" si="37"/>
        <v>0.24903846153846154</v>
      </c>
      <c r="BW8" s="62">
        <f t="shared" si="38"/>
        <v>0.38693806675670461</v>
      </c>
      <c r="BX8" s="62">
        <f t="shared" si="39"/>
        <v>0.53847084442293736</v>
      </c>
      <c r="BY8" s="62">
        <f t="shared" si="40"/>
        <v>0.73842263315947532</v>
      </c>
      <c r="BZ8" s="64">
        <f t="shared" si="41"/>
        <v>0.4391054699304926</v>
      </c>
      <c r="CA8" s="62">
        <f t="shared" si="42"/>
        <v>0.16486013986013986</v>
      </c>
      <c r="CB8" s="62">
        <f t="shared" si="43"/>
        <v>0.26355392629751112</v>
      </c>
      <c r="CC8" s="62">
        <f t="shared" si="44"/>
        <v>0.43067989353980157</v>
      </c>
      <c r="CD8" s="62">
        <f t="shared" si="45"/>
        <v>0.65212581002054681</v>
      </c>
      <c r="CE8" s="65">
        <f t="shared" si="46"/>
        <v>0.33803126459518118</v>
      </c>
      <c r="CF8" s="62">
        <f t="shared" si="47"/>
        <v>0.13234265734265735</v>
      </c>
      <c r="CG8" s="62">
        <f t="shared" si="48"/>
        <v>0.18087979934400927</v>
      </c>
      <c r="CH8" s="62">
        <f t="shared" si="49"/>
        <v>0.28018388579724174</v>
      </c>
      <c r="CI8" s="62">
        <f t="shared" si="50"/>
        <v>0.45092460881934565</v>
      </c>
      <c r="CJ8" s="66">
        <f t="shared" si="51"/>
        <v>0.23511634935025688</v>
      </c>
      <c r="CK8" s="62">
        <f t="shared" si="52"/>
        <v>0.2191215034965035</v>
      </c>
      <c r="CL8" s="62">
        <f t="shared" si="52"/>
        <v>0.34622805325101291</v>
      </c>
      <c r="CM8" s="62">
        <f t="shared" si="52"/>
        <v>0.50217759496733605</v>
      </c>
      <c r="CN8" s="62">
        <f t="shared" si="52"/>
        <v>0.67520151730678046</v>
      </c>
      <c r="CO8" s="67">
        <f t="shared" si="53"/>
        <v>0.39887771642078079</v>
      </c>
      <c r="CP8" s="48"/>
    </row>
    <row r="9" spans="1:94" ht="30.75" customHeight="1" x14ac:dyDescent="0.3">
      <c r="A9" s="36" t="s">
        <v>40</v>
      </c>
      <c r="B9" s="37"/>
      <c r="C9" s="38"/>
      <c r="D9" s="39"/>
      <c r="E9" s="40">
        <f t="shared" ref="E9:F9" si="54">SUM(E10:E16)</f>
        <v>1786</v>
      </c>
      <c r="F9" s="40">
        <f t="shared" si="54"/>
        <v>1747</v>
      </c>
      <c r="G9" s="41">
        <f t="shared" si="1"/>
        <v>0.97816349384098544</v>
      </c>
      <c r="H9" s="40">
        <f t="shared" ref="H9:K9" si="55">SUM(H10:H16)</f>
        <v>63515</v>
      </c>
      <c r="I9" s="40">
        <f t="shared" si="55"/>
        <v>49824</v>
      </c>
      <c r="J9" s="40">
        <f t="shared" si="55"/>
        <v>35416</v>
      </c>
      <c r="K9" s="40">
        <f t="shared" si="55"/>
        <v>27525</v>
      </c>
      <c r="L9" s="42">
        <f t="shared" si="3"/>
        <v>176280</v>
      </c>
      <c r="M9" s="40">
        <f t="shared" ref="M9:P9" si="56">SUM(M10:M16)</f>
        <v>55791</v>
      </c>
      <c r="N9" s="40">
        <f t="shared" si="56"/>
        <v>45022</v>
      </c>
      <c r="O9" s="40">
        <f t="shared" si="56"/>
        <v>32677</v>
      </c>
      <c r="P9" s="40">
        <f t="shared" si="56"/>
        <v>23358</v>
      </c>
      <c r="Q9" s="42">
        <f t="shared" si="5"/>
        <v>156848</v>
      </c>
      <c r="R9" s="40">
        <f t="shared" ref="R9:U9" si="57">SUM(R10:R16)</f>
        <v>1585</v>
      </c>
      <c r="S9" s="40">
        <f t="shared" si="57"/>
        <v>451</v>
      </c>
      <c r="T9" s="40">
        <f t="shared" si="57"/>
        <v>110</v>
      </c>
      <c r="U9" s="40">
        <f t="shared" si="57"/>
        <v>66</v>
      </c>
      <c r="V9" s="43">
        <f t="shared" si="7"/>
        <v>2212</v>
      </c>
      <c r="W9" s="40">
        <f t="shared" ref="W9:Z9" si="58">SUM(W10:W16)</f>
        <v>5018</v>
      </c>
      <c r="X9" s="40">
        <f t="shared" si="58"/>
        <v>2465</v>
      </c>
      <c r="Y9" s="40">
        <f t="shared" si="58"/>
        <v>602</v>
      </c>
      <c r="Z9" s="40">
        <f t="shared" si="58"/>
        <v>190</v>
      </c>
      <c r="AA9" s="43">
        <f t="shared" si="9"/>
        <v>8275</v>
      </c>
      <c r="AB9" s="40">
        <f t="shared" ref="AB9:AE9" si="59">SUM(AB10:AB16)</f>
        <v>15705</v>
      </c>
      <c r="AC9" s="40">
        <f t="shared" si="59"/>
        <v>9168</v>
      </c>
      <c r="AD9" s="40">
        <f t="shared" si="59"/>
        <v>4026</v>
      </c>
      <c r="AE9" s="40">
        <f t="shared" si="59"/>
        <v>1574</v>
      </c>
      <c r="AF9" s="43">
        <f t="shared" si="11"/>
        <v>30473</v>
      </c>
      <c r="AG9" s="40">
        <f t="shared" ref="AG9:AJ9" si="60">SUM(AG10:AG16)</f>
        <v>33483</v>
      </c>
      <c r="AH9" s="40">
        <f t="shared" si="60"/>
        <v>32938</v>
      </c>
      <c r="AI9" s="40">
        <f t="shared" si="60"/>
        <v>27939</v>
      </c>
      <c r="AJ9" s="40">
        <f t="shared" si="60"/>
        <v>21528</v>
      </c>
      <c r="AK9" s="43">
        <f t="shared" si="13"/>
        <v>115888</v>
      </c>
      <c r="AL9" s="44">
        <f t="shared" si="14"/>
        <v>0.28149701564768509</v>
      </c>
      <c r="AM9" s="44">
        <f t="shared" si="15"/>
        <v>0.20363377904135757</v>
      </c>
      <c r="AN9" s="44">
        <f t="shared" si="16"/>
        <v>0.12320592465648621</v>
      </c>
      <c r="AO9" s="44">
        <f t="shared" si="17"/>
        <v>6.7385906327596543E-2</v>
      </c>
      <c r="AP9" s="44">
        <f t="shared" si="18"/>
        <v>0.19428363766194023</v>
      </c>
      <c r="AQ9" s="44">
        <f t="shared" si="19"/>
        <v>0.60015056191858906</v>
      </c>
      <c r="AR9" s="44">
        <f t="shared" si="20"/>
        <v>0.7315978854782107</v>
      </c>
      <c r="AS9" s="44">
        <f t="shared" si="21"/>
        <v>0.85500504942314171</v>
      </c>
      <c r="AT9" s="44">
        <f t="shared" si="22"/>
        <v>0.92165425122013866</v>
      </c>
      <c r="AU9" s="44">
        <f t="shared" si="23"/>
        <v>0.73885545241252681</v>
      </c>
      <c r="AV9" s="40">
        <f t="shared" ref="AV9:AY9" si="61">SUM(AV10:AV16)</f>
        <v>37524</v>
      </c>
      <c r="AW9" s="40">
        <f t="shared" si="61"/>
        <v>33572</v>
      </c>
      <c r="AX9" s="40">
        <f t="shared" si="61"/>
        <v>29166</v>
      </c>
      <c r="AY9" s="40">
        <f t="shared" si="61"/>
        <v>21381</v>
      </c>
      <c r="AZ9" s="43">
        <f t="shared" si="25"/>
        <v>121643</v>
      </c>
      <c r="BA9" s="40">
        <f t="shared" ref="BA9:BD9" si="62">SUM(BA10:BA16)</f>
        <v>29803</v>
      </c>
      <c r="BB9" s="40">
        <f t="shared" si="62"/>
        <v>29140</v>
      </c>
      <c r="BC9" s="40">
        <f t="shared" si="62"/>
        <v>27330</v>
      </c>
      <c r="BD9" s="40">
        <f t="shared" si="62"/>
        <v>19779</v>
      </c>
      <c r="BE9" s="43">
        <f t="shared" si="27"/>
        <v>106052</v>
      </c>
      <c r="BF9" s="40">
        <f t="shared" ref="BF9:BI9" si="63">SUM(BF10:BF16)</f>
        <v>21245</v>
      </c>
      <c r="BG9" s="40">
        <f t="shared" si="63"/>
        <v>22956</v>
      </c>
      <c r="BH9" s="40">
        <f t="shared" si="63"/>
        <v>25985</v>
      </c>
      <c r="BI9" s="40">
        <f t="shared" si="63"/>
        <v>18824</v>
      </c>
      <c r="BJ9" s="43">
        <f t="shared" si="29"/>
        <v>89010</v>
      </c>
      <c r="BK9" s="40">
        <f t="shared" ref="BK9:BN9" si="64">SUM(BK10:BK16)</f>
        <v>15768</v>
      </c>
      <c r="BL9" s="40">
        <f t="shared" si="64"/>
        <v>17166</v>
      </c>
      <c r="BM9" s="40">
        <f t="shared" si="64"/>
        <v>20483</v>
      </c>
      <c r="BN9" s="40">
        <f t="shared" si="64"/>
        <v>15291</v>
      </c>
      <c r="BO9" s="43">
        <f t="shared" si="31"/>
        <v>68708</v>
      </c>
      <c r="BP9" s="45"/>
      <c r="BQ9" s="46">
        <f t="shared" si="32"/>
        <v>0.67258159918266391</v>
      </c>
      <c r="BR9" s="46">
        <f t="shared" si="33"/>
        <v>0.74567988983163791</v>
      </c>
      <c r="BS9" s="46">
        <f t="shared" si="34"/>
        <v>0.89255439605838971</v>
      </c>
      <c r="BT9" s="46">
        <f t="shared" si="35"/>
        <v>0.91536090418700233</v>
      </c>
      <c r="BU9" s="46">
        <f t="shared" si="36"/>
        <v>0.77554702642048357</v>
      </c>
      <c r="BV9" s="46">
        <f t="shared" si="37"/>
        <v>0.53419010234625652</v>
      </c>
      <c r="BW9" s="46">
        <f t="shared" si="38"/>
        <v>0.64723912753764823</v>
      </c>
      <c r="BX9" s="46">
        <f t="shared" si="39"/>
        <v>0.83636808764574466</v>
      </c>
      <c r="BY9" s="46">
        <f t="shared" si="40"/>
        <v>0.84677626509118931</v>
      </c>
      <c r="BZ9" s="47">
        <f t="shared" si="41"/>
        <v>0.67614505763541777</v>
      </c>
      <c r="CA9" s="46">
        <f t="shared" si="42"/>
        <v>0.38079618576472907</v>
      </c>
      <c r="CB9" s="46">
        <f t="shared" si="43"/>
        <v>0.5098840566833992</v>
      </c>
      <c r="CC9" s="46">
        <f t="shared" si="44"/>
        <v>0.79520763840009789</v>
      </c>
      <c r="CD9" s="46">
        <f t="shared" si="45"/>
        <v>0.80589091531809232</v>
      </c>
      <c r="CE9" s="47">
        <f t="shared" si="46"/>
        <v>0.56749209425686009</v>
      </c>
      <c r="CF9" s="46">
        <f t="shared" si="47"/>
        <v>0.28262623003710274</v>
      </c>
      <c r="CG9" s="46">
        <f t="shared" si="48"/>
        <v>0.38128026298254186</v>
      </c>
      <c r="CH9" s="46">
        <f t="shared" si="49"/>
        <v>0.6268323285491324</v>
      </c>
      <c r="CI9" s="46">
        <f t="shared" si="50"/>
        <v>0.65463652709992293</v>
      </c>
      <c r="CJ9" s="47">
        <f t="shared" si="51"/>
        <v>0.43805467713965113</v>
      </c>
      <c r="CK9" s="46">
        <f t="shared" si="52"/>
        <v>0.46754852933268809</v>
      </c>
      <c r="CL9" s="46">
        <f t="shared" si="52"/>
        <v>0.57102083425880679</v>
      </c>
      <c r="CM9" s="46">
        <f t="shared" si="52"/>
        <v>0.78774061266334106</v>
      </c>
      <c r="CN9" s="46">
        <f t="shared" si="52"/>
        <v>0.80566615292405164</v>
      </c>
      <c r="CO9" s="47">
        <f t="shared" si="53"/>
        <v>0.61430971386310318</v>
      </c>
      <c r="CP9" s="48"/>
    </row>
    <row r="10" spans="1:94" ht="30.75" customHeight="1" x14ac:dyDescent="0.3">
      <c r="A10" s="49">
        <v>6</v>
      </c>
      <c r="B10" s="50" t="s">
        <v>41</v>
      </c>
      <c r="C10" s="50" t="s">
        <v>42</v>
      </c>
      <c r="D10" s="51">
        <v>45901</v>
      </c>
      <c r="E10" s="52">
        <v>109</v>
      </c>
      <c r="F10" s="52">
        <v>107</v>
      </c>
      <c r="G10" s="53">
        <f t="shared" si="1"/>
        <v>0.98165137614678899</v>
      </c>
      <c r="H10" s="68">
        <v>3886</v>
      </c>
      <c r="I10" s="69">
        <v>3205</v>
      </c>
      <c r="J10" s="69">
        <v>2184</v>
      </c>
      <c r="K10" s="69">
        <v>1534</v>
      </c>
      <c r="L10" s="54">
        <f t="shared" si="3"/>
        <v>10809</v>
      </c>
      <c r="M10" s="52">
        <v>3490</v>
      </c>
      <c r="N10" s="52">
        <v>2922</v>
      </c>
      <c r="O10" s="52">
        <v>2042</v>
      </c>
      <c r="P10" s="52">
        <v>1443</v>
      </c>
      <c r="Q10" s="54">
        <f t="shared" si="5"/>
        <v>9897</v>
      </c>
      <c r="R10" s="52">
        <v>155</v>
      </c>
      <c r="S10" s="52">
        <v>28</v>
      </c>
      <c r="T10" s="52">
        <v>0</v>
      </c>
      <c r="U10" s="52">
        <v>0</v>
      </c>
      <c r="V10" s="55">
        <f t="shared" si="7"/>
        <v>183</v>
      </c>
      <c r="W10" s="52">
        <v>546</v>
      </c>
      <c r="X10" s="52">
        <v>255</v>
      </c>
      <c r="Y10" s="52">
        <v>40</v>
      </c>
      <c r="Z10" s="52">
        <v>3</v>
      </c>
      <c r="AA10" s="55">
        <f t="shared" si="9"/>
        <v>844</v>
      </c>
      <c r="AB10" s="52">
        <v>1233</v>
      </c>
      <c r="AC10" s="52">
        <v>816</v>
      </c>
      <c r="AD10" s="52">
        <v>350</v>
      </c>
      <c r="AE10" s="52">
        <v>109</v>
      </c>
      <c r="AF10" s="55">
        <f t="shared" si="11"/>
        <v>2508</v>
      </c>
      <c r="AG10" s="52">
        <v>1556</v>
      </c>
      <c r="AH10" s="52">
        <v>1823</v>
      </c>
      <c r="AI10" s="52">
        <v>1652</v>
      </c>
      <c r="AJ10" s="52">
        <v>1331</v>
      </c>
      <c r="AK10" s="55">
        <f t="shared" si="13"/>
        <v>6362</v>
      </c>
      <c r="AL10" s="56">
        <f t="shared" si="14"/>
        <v>0.35329512893982806</v>
      </c>
      <c r="AM10" s="56">
        <f t="shared" si="15"/>
        <v>0.27926078028747431</v>
      </c>
      <c r="AN10" s="56">
        <f t="shared" si="16"/>
        <v>0.17140058765915769</v>
      </c>
      <c r="AO10" s="56">
        <f t="shared" si="17"/>
        <v>7.5537075537075532E-2</v>
      </c>
      <c r="AP10" s="57">
        <f t="shared" si="18"/>
        <v>0.25341012428008486</v>
      </c>
      <c r="AQ10" s="56">
        <f t="shared" si="19"/>
        <v>0.44584527220630371</v>
      </c>
      <c r="AR10" s="56">
        <f t="shared" si="20"/>
        <v>0.62388774811772763</v>
      </c>
      <c r="AS10" s="56">
        <f t="shared" si="21"/>
        <v>0.80901077375122432</v>
      </c>
      <c r="AT10" s="56">
        <f t="shared" si="22"/>
        <v>0.92238392238392242</v>
      </c>
      <c r="AU10" s="57">
        <f t="shared" si="23"/>
        <v>0.64282105688592506</v>
      </c>
      <c r="AV10" s="52">
        <v>2052</v>
      </c>
      <c r="AW10" s="52">
        <v>2009</v>
      </c>
      <c r="AX10" s="52">
        <v>1762</v>
      </c>
      <c r="AY10" s="52">
        <v>1360</v>
      </c>
      <c r="AZ10" s="58">
        <f t="shared" si="25"/>
        <v>7183</v>
      </c>
      <c r="BA10" s="52">
        <v>1852</v>
      </c>
      <c r="BB10" s="52">
        <v>1797</v>
      </c>
      <c r="BC10" s="52">
        <v>1580</v>
      </c>
      <c r="BD10" s="52">
        <v>1296</v>
      </c>
      <c r="BE10" s="59">
        <f t="shared" si="27"/>
        <v>6525</v>
      </c>
      <c r="BF10" s="52">
        <v>1249</v>
      </c>
      <c r="BG10" s="52">
        <v>1407</v>
      </c>
      <c r="BH10" s="52">
        <v>1334</v>
      </c>
      <c r="BI10" s="52">
        <v>1153</v>
      </c>
      <c r="BJ10" s="60">
        <f t="shared" si="29"/>
        <v>5143</v>
      </c>
      <c r="BK10" s="52">
        <v>781</v>
      </c>
      <c r="BL10" s="52">
        <v>1048</v>
      </c>
      <c r="BM10" s="52">
        <v>1116</v>
      </c>
      <c r="BN10" s="52">
        <v>1038</v>
      </c>
      <c r="BO10" s="55">
        <f t="shared" si="31"/>
        <v>3983</v>
      </c>
      <c r="BP10" s="61"/>
      <c r="BQ10" s="62">
        <f t="shared" si="32"/>
        <v>0.5879656160458453</v>
      </c>
      <c r="BR10" s="62">
        <f t="shared" si="33"/>
        <v>0.68754277891854898</v>
      </c>
      <c r="BS10" s="62">
        <f t="shared" si="34"/>
        <v>0.8628795298726738</v>
      </c>
      <c r="BT10" s="62">
        <f t="shared" si="35"/>
        <v>0.9424809424809425</v>
      </c>
      <c r="BU10" s="63">
        <f t="shared" si="36"/>
        <v>0.72577548752147114</v>
      </c>
      <c r="BV10" s="62">
        <f t="shared" si="37"/>
        <v>0.53065902578796564</v>
      </c>
      <c r="BW10" s="62">
        <f t="shared" si="38"/>
        <v>0.61498973305954829</v>
      </c>
      <c r="BX10" s="62">
        <f t="shared" si="39"/>
        <v>0.77375122428991183</v>
      </c>
      <c r="BY10" s="62">
        <f t="shared" si="40"/>
        <v>0.89812889812889818</v>
      </c>
      <c r="BZ10" s="64">
        <f t="shared" si="41"/>
        <v>0.6592906941497424</v>
      </c>
      <c r="CA10" s="62">
        <f t="shared" si="42"/>
        <v>0.35787965616045847</v>
      </c>
      <c r="CB10" s="62">
        <f t="shared" si="43"/>
        <v>0.48151950718685832</v>
      </c>
      <c r="CC10" s="62">
        <f t="shared" si="44"/>
        <v>0.65328109696376102</v>
      </c>
      <c r="CD10" s="62">
        <f t="shared" si="45"/>
        <v>0.79902979902979898</v>
      </c>
      <c r="CE10" s="65">
        <f t="shared" si="46"/>
        <v>0.51965241992522981</v>
      </c>
      <c r="CF10" s="62">
        <f t="shared" si="47"/>
        <v>0.22378223495702007</v>
      </c>
      <c r="CG10" s="62">
        <f t="shared" si="48"/>
        <v>0.35865845311430528</v>
      </c>
      <c r="CH10" s="62">
        <f t="shared" si="49"/>
        <v>0.54652301665034275</v>
      </c>
      <c r="CI10" s="62">
        <f t="shared" si="50"/>
        <v>0.71933471933471937</v>
      </c>
      <c r="CJ10" s="66">
        <f t="shared" si="51"/>
        <v>0.40244518540972013</v>
      </c>
      <c r="CK10" s="62">
        <f t="shared" si="52"/>
        <v>0.42507163323782238</v>
      </c>
      <c r="CL10" s="62">
        <f t="shared" si="52"/>
        <v>0.53567761806981518</v>
      </c>
      <c r="CM10" s="62">
        <f t="shared" si="52"/>
        <v>0.70910871694417232</v>
      </c>
      <c r="CN10" s="62">
        <f t="shared" si="52"/>
        <v>0.83974358974358976</v>
      </c>
      <c r="CO10" s="67">
        <f t="shared" si="53"/>
        <v>0.57679094675154086</v>
      </c>
      <c r="CP10" s="48"/>
    </row>
    <row r="11" spans="1:94" ht="30.75" customHeight="1" x14ac:dyDescent="0.3">
      <c r="A11" s="49">
        <v>7</v>
      </c>
      <c r="B11" s="50" t="s">
        <v>41</v>
      </c>
      <c r="C11" s="50" t="s">
        <v>43</v>
      </c>
      <c r="D11" s="51">
        <v>45901</v>
      </c>
      <c r="E11" s="52">
        <v>381</v>
      </c>
      <c r="F11" s="52">
        <v>362</v>
      </c>
      <c r="G11" s="53">
        <f t="shared" si="1"/>
        <v>0.95013123359580054</v>
      </c>
      <c r="H11" s="70">
        <v>8869</v>
      </c>
      <c r="I11" s="70">
        <v>6714</v>
      </c>
      <c r="J11" s="70">
        <v>4931</v>
      </c>
      <c r="K11" s="70">
        <v>3373</v>
      </c>
      <c r="L11" s="54">
        <f t="shared" si="3"/>
        <v>23887</v>
      </c>
      <c r="M11" s="52">
        <v>7576</v>
      </c>
      <c r="N11" s="52">
        <v>5942</v>
      </c>
      <c r="O11" s="52">
        <v>4425</v>
      </c>
      <c r="P11" s="52">
        <v>3191</v>
      </c>
      <c r="Q11" s="54">
        <f t="shared" si="5"/>
        <v>21134</v>
      </c>
      <c r="R11" s="52">
        <v>27</v>
      </c>
      <c r="S11" s="52">
        <v>4</v>
      </c>
      <c r="T11" s="52">
        <v>0</v>
      </c>
      <c r="U11" s="52">
        <v>0</v>
      </c>
      <c r="V11" s="55">
        <f t="shared" si="7"/>
        <v>31</v>
      </c>
      <c r="W11" s="52">
        <v>146</v>
      </c>
      <c r="X11" s="52">
        <v>52</v>
      </c>
      <c r="Y11" s="52">
        <v>7</v>
      </c>
      <c r="Z11" s="52">
        <v>2</v>
      </c>
      <c r="AA11" s="55">
        <f t="shared" si="9"/>
        <v>207</v>
      </c>
      <c r="AB11" s="52">
        <v>3150</v>
      </c>
      <c r="AC11" s="52">
        <v>1501</v>
      </c>
      <c r="AD11" s="52">
        <v>654</v>
      </c>
      <c r="AE11" s="52">
        <v>297</v>
      </c>
      <c r="AF11" s="55">
        <f t="shared" si="11"/>
        <v>5602</v>
      </c>
      <c r="AG11" s="52">
        <v>4253</v>
      </c>
      <c r="AH11" s="52">
        <v>4385</v>
      </c>
      <c r="AI11" s="52">
        <v>3764</v>
      </c>
      <c r="AJ11" s="52">
        <v>2892</v>
      </c>
      <c r="AK11" s="55">
        <f t="shared" si="13"/>
        <v>15294</v>
      </c>
      <c r="AL11" s="56">
        <f t="shared" si="14"/>
        <v>0.41578669482576558</v>
      </c>
      <c r="AM11" s="56">
        <f t="shared" si="15"/>
        <v>0.25260854930999666</v>
      </c>
      <c r="AN11" s="56">
        <f t="shared" si="16"/>
        <v>0.14779661016949153</v>
      </c>
      <c r="AO11" s="56">
        <f t="shared" si="17"/>
        <v>9.3074271388279534E-2</v>
      </c>
      <c r="AP11" s="57">
        <f t="shared" si="18"/>
        <v>0.26507050250780734</v>
      </c>
      <c r="AQ11" s="56">
        <f t="shared" si="19"/>
        <v>0.56137803590285107</v>
      </c>
      <c r="AR11" s="56">
        <f t="shared" si="20"/>
        <v>0.73796701447324131</v>
      </c>
      <c r="AS11" s="56">
        <f t="shared" si="21"/>
        <v>0.85062146892655366</v>
      </c>
      <c r="AT11" s="56">
        <f t="shared" si="22"/>
        <v>0.90629896584142899</v>
      </c>
      <c r="AU11" s="57">
        <f t="shared" si="23"/>
        <v>0.72366802309075429</v>
      </c>
      <c r="AV11" s="52">
        <v>6005</v>
      </c>
      <c r="AW11" s="52">
        <v>4833</v>
      </c>
      <c r="AX11" s="52">
        <v>3720</v>
      </c>
      <c r="AY11" s="52">
        <v>2801</v>
      </c>
      <c r="AZ11" s="58">
        <f t="shared" si="25"/>
        <v>17359</v>
      </c>
      <c r="BA11" s="52">
        <v>5255</v>
      </c>
      <c r="BB11" s="52">
        <v>4346</v>
      </c>
      <c r="BC11" s="52">
        <v>3358</v>
      </c>
      <c r="BD11" s="52">
        <v>2575</v>
      </c>
      <c r="BE11" s="59">
        <f t="shared" si="27"/>
        <v>15534</v>
      </c>
      <c r="BF11" s="52">
        <v>4604</v>
      </c>
      <c r="BG11" s="52">
        <v>4123</v>
      </c>
      <c r="BH11" s="52">
        <v>3237</v>
      </c>
      <c r="BI11" s="52">
        <v>2499</v>
      </c>
      <c r="BJ11" s="60">
        <f t="shared" si="29"/>
        <v>14463</v>
      </c>
      <c r="BK11" s="52">
        <v>3992</v>
      </c>
      <c r="BL11" s="52">
        <v>3593</v>
      </c>
      <c r="BM11" s="52">
        <v>2979</v>
      </c>
      <c r="BN11" s="52">
        <v>2306</v>
      </c>
      <c r="BO11" s="55">
        <f t="shared" si="31"/>
        <v>12870</v>
      </c>
      <c r="BP11" s="61"/>
      <c r="BQ11" s="62">
        <f t="shared" si="32"/>
        <v>0.79263463569165782</v>
      </c>
      <c r="BR11" s="62">
        <f t="shared" si="33"/>
        <v>0.81336250420733758</v>
      </c>
      <c r="BS11" s="62">
        <f t="shared" si="34"/>
        <v>0.84067796610169487</v>
      </c>
      <c r="BT11" s="62">
        <f t="shared" si="35"/>
        <v>0.87778125979316823</v>
      </c>
      <c r="BU11" s="63">
        <f t="shared" si="36"/>
        <v>0.82137787451499955</v>
      </c>
      <c r="BV11" s="62">
        <f t="shared" si="37"/>
        <v>0.69363780359028515</v>
      </c>
      <c r="BW11" s="62">
        <f t="shared" si="38"/>
        <v>0.73140356782228211</v>
      </c>
      <c r="BX11" s="62">
        <f t="shared" si="39"/>
        <v>0.75887005649717509</v>
      </c>
      <c r="BY11" s="62">
        <f t="shared" si="40"/>
        <v>0.80695706675023504</v>
      </c>
      <c r="BZ11" s="64">
        <f t="shared" si="41"/>
        <v>0.73502413173086023</v>
      </c>
      <c r="CA11" s="62">
        <f t="shared" si="42"/>
        <v>0.60770855332629359</v>
      </c>
      <c r="CB11" s="62">
        <f t="shared" si="43"/>
        <v>0.69387411645910468</v>
      </c>
      <c r="CC11" s="62">
        <f t="shared" si="44"/>
        <v>0.73152542372881357</v>
      </c>
      <c r="CD11" s="62">
        <f t="shared" si="45"/>
        <v>0.78314008147916014</v>
      </c>
      <c r="CE11" s="65">
        <f t="shared" si="46"/>
        <v>0.68434749692438723</v>
      </c>
      <c r="CF11" s="62">
        <f t="shared" si="47"/>
        <v>0.52692713833157334</v>
      </c>
      <c r="CG11" s="62">
        <f t="shared" si="48"/>
        <v>0.60467855940760684</v>
      </c>
      <c r="CH11" s="62">
        <f t="shared" si="49"/>
        <v>0.67322033898305089</v>
      </c>
      <c r="CI11" s="62">
        <f t="shared" si="50"/>
        <v>0.72265747414603576</v>
      </c>
      <c r="CJ11" s="66">
        <f t="shared" si="51"/>
        <v>0.6089713258256837</v>
      </c>
      <c r="CK11" s="62">
        <f t="shared" si="52"/>
        <v>0.65522703273495253</v>
      </c>
      <c r="CL11" s="62">
        <f t="shared" si="52"/>
        <v>0.71082968697408278</v>
      </c>
      <c r="CM11" s="62">
        <f t="shared" si="52"/>
        <v>0.75107344632768358</v>
      </c>
      <c r="CN11" s="62">
        <f t="shared" si="52"/>
        <v>0.79763397054214979</v>
      </c>
      <c r="CO11" s="67">
        <f t="shared" si="53"/>
        <v>0.71243020724898265</v>
      </c>
      <c r="CP11" s="48"/>
    </row>
    <row r="12" spans="1:94" ht="30.75" customHeight="1" x14ac:dyDescent="0.3">
      <c r="A12" s="49">
        <v>8</v>
      </c>
      <c r="B12" s="50" t="s">
        <v>41</v>
      </c>
      <c r="C12" s="50" t="s">
        <v>44</v>
      </c>
      <c r="D12" s="51">
        <v>45901</v>
      </c>
      <c r="E12" s="52">
        <v>431</v>
      </c>
      <c r="F12" s="52">
        <v>425</v>
      </c>
      <c r="G12" s="53">
        <f t="shared" si="1"/>
        <v>0.9860788863109049</v>
      </c>
      <c r="H12" s="52">
        <v>17211</v>
      </c>
      <c r="I12" s="52">
        <v>13081</v>
      </c>
      <c r="J12" s="52">
        <v>9932</v>
      </c>
      <c r="K12" s="52">
        <v>8816</v>
      </c>
      <c r="L12" s="54">
        <f t="shared" si="3"/>
        <v>49040</v>
      </c>
      <c r="M12" s="52">
        <v>16821</v>
      </c>
      <c r="N12" s="52">
        <v>12621</v>
      </c>
      <c r="O12" s="52">
        <v>9829</v>
      </c>
      <c r="P12" s="52">
        <v>8816</v>
      </c>
      <c r="Q12" s="54">
        <f t="shared" si="5"/>
        <v>48087</v>
      </c>
      <c r="R12" s="52">
        <v>0</v>
      </c>
      <c r="S12" s="52">
        <v>0</v>
      </c>
      <c r="T12" s="52">
        <v>0</v>
      </c>
      <c r="U12" s="52">
        <v>0</v>
      </c>
      <c r="V12" s="55">
        <f t="shared" si="7"/>
        <v>0</v>
      </c>
      <c r="W12" s="52">
        <v>0</v>
      </c>
      <c r="X12" s="52">
        <v>0</v>
      </c>
      <c r="Y12" s="52">
        <v>0</v>
      </c>
      <c r="Z12" s="52">
        <v>0</v>
      </c>
      <c r="AA12" s="55">
        <f t="shared" si="9"/>
        <v>0</v>
      </c>
      <c r="AB12" s="52">
        <v>1609</v>
      </c>
      <c r="AC12" s="52">
        <v>0</v>
      </c>
      <c r="AD12" s="52">
        <v>0</v>
      </c>
      <c r="AE12" s="52">
        <v>0</v>
      </c>
      <c r="AF12" s="55">
        <f t="shared" si="11"/>
        <v>1609</v>
      </c>
      <c r="AG12" s="52">
        <v>15212</v>
      </c>
      <c r="AH12" s="52">
        <v>12621</v>
      </c>
      <c r="AI12" s="52">
        <v>9829</v>
      </c>
      <c r="AJ12" s="52">
        <v>8816</v>
      </c>
      <c r="AK12" s="55">
        <f t="shared" si="13"/>
        <v>46478</v>
      </c>
      <c r="AL12" s="56">
        <f t="shared" si="14"/>
        <v>9.5654241721657457E-2</v>
      </c>
      <c r="AM12" s="56">
        <f t="shared" si="15"/>
        <v>0</v>
      </c>
      <c r="AN12" s="56">
        <f t="shared" si="16"/>
        <v>0</v>
      </c>
      <c r="AO12" s="56">
        <f t="shared" si="17"/>
        <v>0</v>
      </c>
      <c r="AP12" s="57">
        <f t="shared" si="18"/>
        <v>3.3460186744858275E-2</v>
      </c>
      <c r="AQ12" s="56">
        <f t="shared" si="19"/>
        <v>0.90434575827834252</v>
      </c>
      <c r="AR12" s="56">
        <f t="shared" si="20"/>
        <v>1</v>
      </c>
      <c r="AS12" s="56">
        <f t="shared" si="21"/>
        <v>1</v>
      </c>
      <c r="AT12" s="56">
        <f t="shared" si="22"/>
        <v>1</v>
      </c>
      <c r="AU12" s="57">
        <f t="shared" si="23"/>
        <v>0.96653981325514171</v>
      </c>
      <c r="AV12" s="52">
        <v>12459</v>
      </c>
      <c r="AW12" s="52">
        <v>9962</v>
      </c>
      <c r="AX12" s="52">
        <v>9085</v>
      </c>
      <c r="AY12" s="52">
        <v>7993</v>
      </c>
      <c r="AZ12" s="58">
        <f t="shared" si="25"/>
        <v>39499</v>
      </c>
      <c r="BA12" s="52">
        <v>10236</v>
      </c>
      <c r="BB12" s="52">
        <v>9898</v>
      </c>
      <c r="BC12" s="52">
        <v>8986</v>
      </c>
      <c r="BD12" s="52">
        <v>7559</v>
      </c>
      <c r="BE12" s="59">
        <f t="shared" si="27"/>
        <v>36679</v>
      </c>
      <c r="BF12" s="52">
        <v>6601</v>
      </c>
      <c r="BG12" s="52">
        <v>6830</v>
      </c>
      <c r="BH12" s="52">
        <v>8800</v>
      </c>
      <c r="BI12" s="52">
        <v>7259</v>
      </c>
      <c r="BJ12" s="60">
        <f t="shared" si="29"/>
        <v>29490</v>
      </c>
      <c r="BK12" s="52">
        <v>3822</v>
      </c>
      <c r="BL12" s="52">
        <v>4385</v>
      </c>
      <c r="BM12" s="52">
        <v>5031</v>
      </c>
      <c r="BN12" s="52">
        <v>5432</v>
      </c>
      <c r="BO12" s="55">
        <f t="shared" si="31"/>
        <v>18670</v>
      </c>
      <c r="BP12" s="61"/>
      <c r="BQ12" s="62">
        <f t="shared" si="32"/>
        <v>0.74068129124308901</v>
      </c>
      <c r="BR12" s="62">
        <f t="shared" si="33"/>
        <v>0.7893193883210522</v>
      </c>
      <c r="BS12" s="62">
        <f t="shared" si="34"/>
        <v>0.92430562620815948</v>
      </c>
      <c r="BT12" s="62">
        <f t="shared" si="35"/>
        <v>0.90664700544464605</v>
      </c>
      <c r="BU12" s="63">
        <f t="shared" si="36"/>
        <v>0.82140703308586516</v>
      </c>
      <c r="BV12" s="62">
        <f t="shared" si="37"/>
        <v>0.60852505796326017</v>
      </c>
      <c r="BW12" s="62">
        <f t="shared" si="38"/>
        <v>0.78424847476428172</v>
      </c>
      <c r="BX12" s="62">
        <f t="shared" si="39"/>
        <v>0.91423339098585821</v>
      </c>
      <c r="BY12" s="62">
        <f t="shared" si="40"/>
        <v>0.85741833030852999</v>
      </c>
      <c r="BZ12" s="64">
        <f t="shared" si="41"/>
        <v>0.76276332480712039</v>
      </c>
      <c r="CA12" s="62">
        <f t="shared" si="42"/>
        <v>0.3924261339991677</v>
      </c>
      <c r="CB12" s="62">
        <f t="shared" si="43"/>
        <v>0.54116155613659778</v>
      </c>
      <c r="CC12" s="62">
        <f t="shared" si="44"/>
        <v>0.89530979753789808</v>
      </c>
      <c r="CD12" s="62">
        <f t="shared" si="45"/>
        <v>0.82338929219600721</v>
      </c>
      <c r="CE12" s="65">
        <f t="shared" si="46"/>
        <v>0.61326345997878839</v>
      </c>
      <c r="CF12" s="62">
        <f t="shared" si="47"/>
        <v>0.22721598002496879</v>
      </c>
      <c r="CG12" s="62">
        <f t="shared" si="48"/>
        <v>0.3474368116631012</v>
      </c>
      <c r="CH12" s="62">
        <f t="shared" si="49"/>
        <v>0.51185268084240509</v>
      </c>
      <c r="CI12" s="62">
        <f t="shared" si="50"/>
        <v>0.61615245009074415</v>
      </c>
      <c r="CJ12" s="66">
        <f t="shared" si="51"/>
        <v>0.38825462183126419</v>
      </c>
      <c r="CK12" s="62">
        <f t="shared" si="52"/>
        <v>0.49221211580762148</v>
      </c>
      <c r="CL12" s="62">
        <f t="shared" si="52"/>
        <v>0.61554155772125829</v>
      </c>
      <c r="CM12" s="62">
        <f t="shared" si="52"/>
        <v>0.81142537389358016</v>
      </c>
      <c r="CN12" s="62">
        <f t="shared" si="52"/>
        <v>0.80090176950998182</v>
      </c>
      <c r="CO12" s="67">
        <f t="shared" si="53"/>
        <v>0.64642210992575944</v>
      </c>
      <c r="CP12" s="48"/>
    </row>
    <row r="13" spans="1:94" ht="30.75" customHeight="1" x14ac:dyDescent="0.3">
      <c r="A13" s="49">
        <v>9</v>
      </c>
      <c r="B13" s="50" t="s">
        <v>41</v>
      </c>
      <c r="C13" s="50" t="s">
        <v>45</v>
      </c>
      <c r="D13" s="51">
        <v>45901</v>
      </c>
      <c r="E13" s="52">
        <v>279</v>
      </c>
      <c r="F13" s="52">
        <v>279</v>
      </c>
      <c r="G13" s="53">
        <f t="shared" si="1"/>
        <v>1</v>
      </c>
      <c r="H13" s="52">
        <v>11032</v>
      </c>
      <c r="I13" s="52">
        <v>8131</v>
      </c>
      <c r="J13" s="52">
        <v>4791</v>
      </c>
      <c r="K13" s="52">
        <v>3165</v>
      </c>
      <c r="L13" s="54">
        <f t="shared" si="3"/>
        <v>27119</v>
      </c>
      <c r="M13" s="52">
        <v>8781</v>
      </c>
      <c r="N13" s="52">
        <v>6578</v>
      </c>
      <c r="O13" s="52">
        <v>4051</v>
      </c>
      <c r="P13" s="52">
        <v>2792</v>
      </c>
      <c r="Q13" s="54">
        <f t="shared" si="5"/>
        <v>22202</v>
      </c>
      <c r="R13" s="52">
        <v>23</v>
      </c>
      <c r="S13" s="52">
        <v>0</v>
      </c>
      <c r="T13" s="52">
        <v>0</v>
      </c>
      <c r="U13" s="52">
        <v>0</v>
      </c>
      <c r="V13" s="55">
        <f t="shared" si="7"/>
        <v>23</v>
      </c>
      <c r="W13" s="52">
        <v>125</v>
      </c>
      <c r="X13" s="52">
        <v>11</v>
      </c>
      <c r="Y13" s="52">
        <v>0</v>
      </c>
      <c r="Z13" s="52">
        <v>0</v>
      </c>
      <c r="AA13" s="55">
        <f t="shared" si="9"/>
        <v>136</v>
      </c>
      <c r="AB13" s="52">
        <v>1789</v>
      </c>
      <c r="AC13" s="52">
        <v>759</v>
      </c>
      <c r="AD13" s="52">
        <v>20</v>
      </c>
      <c r="AE13" s="52">
        <v>5</v>
      </c>
      <c r="AF13" s="55">
        <f t="shared" si="11"/>
        <v>2573</v>
      </c>
      <c r="AG13" s="52">
        <v>6844</v>
      </c>
      <c r="AH13" s="52">
        <v>5808</v>
      </c>
      <c r="AI13" s="52">
        <v>4031</v>
      </c>
      <c r="AJ13" s="52">
        <v>2787</v>
      </c>
      <c r="AK13" s="55">
        <f t="shared" si="13"/>
        <v>19470</v>
      </c>
      <c r="AL13" s="56">
        <f t="shared" si="14"/>
        <v>0.20373533766085866</v>
      </c>
      <c r="AM13" s="56">
        <f t="shared" si="15"/>
        <v>0.11538461538461539</v>
      </c>
      <c r="AN13" s="56">
        <f t="shared" si="16"/>
        <v>4.9370525796099728E-3</v>
      </c>
      <c r="AO13" s="56">
        <f t="shared" si="17"/>
        <v>1.7908309455587394E-3</v>
      </c>
      <c r="AP13" s="57">
        <f t="shared" si="18"/>
        <v>0.11589046031889019</v>
      </c>
      <c r="AQ13" s="56">
        <f t="shared" si="19"/>
        <v>0.77941008996697414</v>
      </c>
      <c r="AR13" s="56">
        <f t="shared" si="20"/>
        <v>0.882943143812709</v>
      </c>
      <c r="AS13" s="56">
        <f t="shared" si="21"/>
        <v>0.99506294742039003</v>
      </c>
      <c r="AT13" s="56">
        <f t="shared" si="22"/>
        <v>0.99820916905444124</v>
      </c>
      <c r="AU13" s="57">
        <f t="shared" si="23"/>
        <v>0.87694802270065764</v>
      </c>
      <c r="AV13" s="52">
        <v>5537</v>
      </c>
      <c r="AW13" s="52">
        <v>5076</v>
      </c>
      <c r="AX13" s="52">
        <v>3542</v>
      </c>
      <c r="AY13" s="52">
        <v>2626</v>
      </c>
      <c r="AZ13" s="58">
        <f t="shared" si="25"/>
        <v>16781</v>
      </c>
      <c r="BA13" s="52">
        <v>4626</v>
      </c>
      <c r="BB13" s="52">
        <v>4309</v>
      </c>
      <c r="BC13" s="52">
        <v>3119</v>
      </c>
      <c r="BD13" s="52">
        <v>2466</v>
      </c>
      <c r="BE13" s="59">
        <f t="shared" si="27"/>
        <v>14520</v>
      </c>
      <c r="BF13" s="52">
        <v>3523</v>
      </c>
      <c r="BG13" s="52">
        <v>3768</v>
      </c>
      <c r="BH13" s="52">
        <v>2836</v>
      </c>
      <c r="BI13" s="52">
        <v>2362</v>
      </c>
      <c r="BJ13" s="60">
        <f t="shared" si="29"/>
        <v>12489</v>
      </c>
      <c r="BK13" s="52">
        <v>2560</v>
      </c>
      <c r="BL13" s="52">
        <v>3058</v>
      </c>
      <c r="BM13" s="52">
        <v>2423</v>
      </c>
      <c r="BN13" s="52">
        <v>2130</v>
      </c>
      <c r="BO13" s="55">
        <f t="shared" si="31"/>
        <v>10171</v>
      </c>
      <c r="BP13" s="61"/>
      <c r="BQ13" s="62">
        <f t="shared" si="32"/>
        <v>0.63056599476141673</v>
      </c>
      <c r="BR13" s="62">
        <f t="shared" si="33"/>
        <v>0.77166311948920641</v>
      </c>
      <c r="BS13" s="62">
        <f t="shared" si="34"/>
        <v>0.87435201184892619</v>
      </c>
      <c r="BT13" s="62">
        <f t="shared" si="35"/>
        <v>0.94054441260744981</v>
      </c>
      <c r="BU13" s="63">
        <f t="shared" si="36"/>
        <v>0.75583280785514817</v>
      </c>
      <c r="BV13" s="62">
        <f t="shared" si="37"/>
        <v>0.52681926887598218</v>
      </c>
      <c r="BW13" s="62">
        <f t="shared" si="38"/>
        <v>0.65506232897537242</v>
      </c>
      <c r="BX13" s="62">
        <f t="shared" si="39"/>
        <v>0.76993334979017525</v>
      </c>
      <c r="BY13" s="62">
        <f t="shared" si="40"/>
        <v>0.88323782234957016</v>
      </c>
      <c r="BZ13" s="64">
        <f t="shared" si="41"/>
        <v>0.65399513557337174</v>
      </c>
      <c r="CA13" s="62">
        <f t="shared" si="42"/>
        <v>0.40120715180503358</v>
      </c>
      <c r="CB13" s="62">
        <f t="shared" si="43"/>
        <v>0.57281848586196416</v>
      </c>
      <c r="CC13" s="62">
        <f t="shared" si="44"/>
        <v>0.70007405578869419</v>
      </c>
      <c r="CD13" s="62">
        <f t="shared" si="45"/>
        <v>0.84598853868194845</v>
      </c>
      <c r="CE13" s="65">
        <f t="shared" si="46"/>
        <v>0.56251689037023689</v>
      </c>
      <c r="CF13" s="62">
        <f t="shared" si="47"/>
        <v>0.29153854914018906</v>
      </c>
      <c r="CG13" s="62">
        <f t="shared" si="48"/>
        <v>0.46488294314381273</v>
      </c>
      <c r="CH13" s="62">
        <f t="shared" si="49"/>
        <v>0.59812392001974823</v>
      </c>
      <c r="CI13" s="62">
        <f t="shared" si="50"/>
        <v>0.7628939828080229</v>
      </c>
      <c r="CJ13" s="66">
        <f t="shared" si="51"/>
        <v>0.45811188181244933</v>
      </c>
      <c r="CK13" s="62">
        <f t="shared" si="52"/>
        <v>0.46253274114565535</v>
      </c>
      <c r="CL13" s="62">
        <f t="shared" si="52"/>
        <v>0.61610671936758887</v>
      </c>
      <c r="CM13" s="62">
        <f t="shared" si="52"/>
        <v>0.73562083436188586</v>
      </c>
      <c r="CN13" s="62">
        <f t="shared" si="52"/>
        <v>0.85816618911174791</v>
      </c>
      <c r="CO13" s="67">
        <f t="shared" si="53"/>
        <v>0.60761417890280156</v>
      </c>
      <c r="CP13" s="48"/>
    </row>
    <row r="14" spans="1:94" ht="30.75" customHeight="1" x14ac:dyDescent="0.3">
      <c r="A14" s="49">
        <v>10</v>
      </c>
      <c r="B14" s="50" t="s">
        <v>41</v>
      </c>
      <c r="C14" s="50" t="s">
        <v>46</v>
      </c>
      <c r="D14" s="71">
        <v>45992</v>
      </c>
      <c r="E14" s="52">
        <v>24</v>
      </c>
      <c r="F14" s="52">
        <v>24</v>
      </c>
      <c r="G14" s="53">
        <f t="shared" si="1"/>
        <v>1</v>
      </c>
      <c r="H14" s="52">
        <v>2573</v>
      </c>
      <c r="I14" s="52">
        <v>2577</v>
      </c>
      <c r="J14" s="52">
        <v>2472</v>
      </c>
      <c r="K14" s="52">
        <v>2441</v>
      </c>
      <c r="L14" s="54">
        <f t="shared" si="3"/>
        <v>10063</v>
      </c>
      <c r="M14" s="52">
        <v>1658</v>
      </c>
      <c r="N14" s="52">
        <v>1878</v>
      </c>
      <c r="O14" s="52">
        <v>2055</v>
      </c>
      <c r="P14" s="52">
        <v>2234</v>
      </c>
      <c r="Q14" s="54">
        <f t="shared" ref="Q14" si="65">SUM(M14:P14)</f>
        <v>7825</v>
      </c>
      <c r="R14" s="52">
        <v>104</v>
      </c>
      <c r="S14" s="52">
        <v>30</v>
      </c>
      <c r="T14" s="52">
        <v>0</v>
      </c>
      <c r="U14" s="52">
        <v>0</v>
      </c>
      <c r="V14" s="55">
        <f t="shared" si="7"/>
        <v>134</v>
      </c>
      <c r="W14" s="52">
        <v>343</v>
      </c>
      <c r="X14" s="52">
        <v>122</v>
      </c>
      <c r="Y14" s="52">
        <v>16</v>
      </c>
      <c r="Z14" s="52">
        <v>1</v>
      </c>
      <c r="AA14" s="55">
        <f t="shared" si="9"/>
        <v>482</v>
      </c>
      <c r="AB14" s="52">
        <v>581</v>
      </c>
      <c r="AC14" s="52">
        <v>719</v>
      </c>
      <c r="AD14" s="52">
        <v>466</v>
      </c>
      <c r="AE14" s="52">
        <v>323</v>
      </c>
      <c r="AF14" s="55">
        <f t="shared" si="11"/>
        <v>2089</v>
      </c>
      <c r="AG14" s="52">
        <v>630</v>
      </c>
      <c r="AH14" s="52">
        <v>1007</v>
      </c>
      <c r="AI14" s="52">
        <v>1573</v>
      </c>
      <c r="AJ14" s="52">
        <v>1910</v>
      </c>
      <c r="AK14" s="55">
        <f t="shared" si="13"/>
        <v>5120</v>
      </c>
      <c r="AL14" s="56">
        <f t="shared" si="14"/>
        <v>0.35042219541616404</v>
      </c>
      <c r="AM14" s="56">
        <f t="shared" si="15"/>
        <v>0.38285410010649629</v>
      </c>
      <c r="AN14" s="56">
        <f t="shared" si="16"/>
        <v>0.22676399026763991</v>
      </c>
      <c r="AO14" s="56">
        <f t="shared" si="17"/>
        <v>0.14458370635631154</v>
      </c>
      <c r="AP14" s="57">
        <f t="shared" si="18"/>
        <v>0.26696485623003197</v>
      </c>
      <c r="AQ14" s="56">
        <f t="shared" si="19"/>
        <v>0.37997587454764775</v>
      </c>
      <c r="AR14" s="56">
        <f t="shared" si="20"/>
        <v>0.53620873269435565</v>
      </c>
      <c r="AS14" s="56">
        <f t="shared" si="21"/>
        <v>0.76545012165450121</v>
      </c>
      <c r="AT14" s="56">
        <f t="shared" si="22"/>
        <v>0.85496866606982991</v>
      </c>
      <c r="AU14" s="57">
        <f t="shared" si="23"/>
        <v>0.65431309904153356</v>
      </c>
      <c r="AV14" s="52">
        <v>989</v>
      </c>
      <c r="AW14" s="52">
        <v>1416</v>
      </c>
      <c r="AX14" s="52">
        <v>1714</v>
      </c>
      <c r="AY14" s="52">
        <v>2100</v>
      </c>
      <c r="AZ14" s="58">
        <f t="shared" si="25"/>
        <v>6219</v>
      </c>
      <c r="BA14" s="52">
        <v>800</v>
      </c>
      <c r="BB14" s="52">
        <v>1199</v>
      </c>
      <c r="BC14" s="52">
        <v>1573</v>
      </c>
      <c r="BD14" s="52">
        <v>1894</v>
      </c>
      <c r="BE14" s="59">
        <f t="shared" si="27"/>
        <v>5466</v>
      </c>
      <c r="BF14" s="52">
        <v>439</v>
      </c>
      <c r="BG14" s="52">
        <v>791</v>
      </c>
      <c r="BH14" s="52">
        <v>1296</v>
      </c>
      <c r="BI14" s="52">
        <v>1677</v>
      </c>
      <c r="BJ14" s="60">
        <f t="shared" si="29"/>
        <v>4203</v>
      </c>
      <c r="BK14" s="52">
        <v>236</v>
      </c>
      <c r="BL14" s="52">
        <v>497</v>
      </c>
      <c r="BM14" s="52">
        <v>871</v>
      </c>
      <c r="BN14" s="52">
        <v>1306</v>
      </c>
      <c r="BO14" s="55">
        <f t="shared" si="31"/>
        <v>2910</v>
      </c>
      <c r="BP14" s="61"/>
      <c r="BQ14" s="62">
        <f t="shared" si="32"/>
        <v>0.59650180940892639</v>
      </c>
      <c r="BR14" s="62">
        <f t="shared" si="33"/>
        <v>0.7539936102236422</v>
      </c>
      <c r="BS14" s="62">
        <f t="shared" si="34"/>
        <v>0.83406326034063261</v>
      </c>
      <c r="BT14" s="62">
        <f t="shared" si="35"/>
        <v>0.94001790510295435</v>
      </c>
      <c r="BU14" s="63">
        <f t="shared" si="36"/>
        <v>0.7947603833865815</v>
      </c>
      <c r="BV14" s="62">
        <f t="shared" si="37"/>
        <v>0.4825090470446321</v>
      </c>
      <c r="BW14" s="62">
        <f t="shared" si="38"/>
        <v>0.63844515441959526</v>
      </c>
      <c r="BX14" s="62">
        <f t="shared" si="39"/>
        <v>0.76545012165450121</v>
      </c>
      <c r="BY14" s="62">
        <f t="shared" si="40"/>
        <v>0.84780662488809311</v>
      </c>
      <c r="BZ14" s="64">
        <f t="shared" si="41"/>
        <v>0.6985303514376997</v>
      </c>
      <c r="CA14" s="62">
        <f t="shared" si="42"/>
        <v>0.26477683956574188</v>
      </c>
      <c r="CB14" s="62">
        <f t="shared" si="43"/>
        <v>0.42119275825346114</v>
      </c>
      <c r="CC14" s="62">
        <f t="shared" si="44"/>
        <v>0.63065693430656933</v>
      </c>
      <c r="CD14" s="62">
        <f t="shared" si="45"/>
        <v>0.75067144136078778</v>
      </c>
      <c r="CE14" s="65">
        <f t="shared" si="46"/>
        <v>0.5371246006389776</v>
      </c>
      <c r="CF14" s="62">
        <f t="shared" si="47"/>
        <v>0.14234016887816647</v>
      </c>
      <c r="CG14" s="62">
        <f t="shared" si="48"/>
        <v>0.26464323748668794</v>
      </c>
      <c r="CH14" s="62">
        <f t="shared" si="49"/>
        <v>0.42384428223844284</v>
      </c>
      <c r="CI14" s="62">
        <f t="shared" si="50"/>
        <v>0.58460161145926592</v>
      </c>
      <c r="CJ14" s="66">
        <f t="shared" si="51"/>
        <v>0.37188498402555908</v>
      </c>
      <c r="CK14" s="62">
        <f t="shared" si="52"/>
        <v>0.37153196622436674</v>
      </c>
      <c r="CL14" s="62">
        <f t="shared" si="52"/>
        <v>0.51956869009584661</v>
      </c>
      <c r="CM14" s="62">
        <f t="shared" si="52"/>
        <v>0.6635036496350365</v>
      </c>
      <c r="CN14" s="62">
        <f t="shared" si="52"/>
        <v>0.7807743957027754</v>
      </c>
      <c r="CO14" s="67">
        <f t="shared" si="53"/>
        <v>0.60057507987220449</v>
      </c>
      <c r="CP14" s="48"/>
    </row>
    <row r="15" spans="1:94" ht="30.75" customHeight="1" x14ac:dyDescent="0.3">
      <c r="A15" s="49">
        <v>11</v>
      </c>
      <c r="B15" s="50" t="s">
        <v>41</v>
      </c>
      <c r="C15" s="50" t="s">
        <v>47</v>
      </c>
      <c r="D15" s="51">
        <v>45901</v>
      </c>
      <c r="E15" s="52">
        <v>310</v>
      </c>
      <c r="F15" s="52">
        <v>307</v>
      </c>
      <c r="G15" s="53">
        <f t="shared" si="1"/>
        <v>0.99032258064516132</v>
      </c>
      <c r="H15" s="52">
        <v>10952</v>
      </c>
      <c r="I15" s="52">
        <v>8537</v>
      </c>
      <c r="J15" s="52">
        <v>6167</v>
      </c>
      <c r="K15" s="52">
        <v>4852</v>
      </c>
      <c r="L15" s="54">
        <f t="shared" si="3"/>
        <v>30508</v>
      </c>
      <c r="M15" s="52">
        <v>9698</v>
      </c>
      <c r="N15" s="52">
        <v>8432</v>
      </c>
      <c r="O15" s="52">
        <v>5799</v>
      </c>
      <c r="P15" s="52">
        <v>1806</v>
      </c>
      <c r="Q15" s="54">
        <f t="shared" si="5"/>
        <v>25735</v>
      </c>
      <c r="R15" s="72">
        <v>647</v>
      </c>
      <c r="S15" s="72">
        <v>242</v>
      </c>
      <c r="T15" s="72">
        <v>96</v>
      </c>
      <c r="U15" s="72">
        <v>65</v>
      </c>
      <c r="V15" s="55">
        <f t="shared" si="7"/>
        <v>1050</v>
      </c>
      <c r="W15" s="52">
        <v>2121</v>
      </c>
      <c r="X15" s="52">
        <v>1089</v>
      </c>
      <c r="Y15" s="52">
        <v>329</v>
      </c>
      <c r="Z15" s="52">
        <v>130</v>
      </c>
      <c r="AA15" s="55">
        <f t="shared" si="9"/>
        <v>3669</v>
      </c>
      <c r="AB15" s="52">
        <v>4228</v>
      </c>
      <c r="AC15" s="52">
        <v>3090</v>
      </c>
      <c r="AD15" s="52">
        <v>1294</v>
      </c>
      <c r="AE15" s="52">
        <v>506</v>
      </c>
      <c r="AF15" s="55">
        <f t="shared" si="11"/>
        <v>9118</v>
      </c>
      <c r="AG15" s="52">
        <v>2702</v>
      </c>
      <c r="AH15" s="52">
        <v>4011</v>
      </c>
      <c r="AI15" s="52">
        <v>4080</v>
      </c>
      <c r="AJ15" s="52">
        <v>1105</v>
      </c>
      <c r="AK15" s="55">
        <f t="shared" si="13"/>
        <v>11898</v>
      </c>
      <c r="AL15" s="56">
        <f t="shared" si="14"/>
        <v>0.43596617859352443</v>
      </c>
      <c r="AM15" s="56">
        <f t="shared" si="15"/>
        <v>0.36646110056925996</v>
      </c>
      <c r="AN15" s="56">
        <f t="shared" si="16"/>
        <v>0.22314192102086566</v>
      </c>
      <c r="AO15" s="56">
        <f t="shared" si="17"/>
        <v>0.28017718715393136</v>
      </c>
      <c r="AP15" s="57">
        <f t="shared" si="18"/>
        <v>0.35430347775403148</v>
      </c>
      <c r="AQ15" s="56">
        <f t="shared" si="19"/>
        <v>0.27861414724685502</v>
      </c>
      <c r="AR15" s="56">
        <f t="shared" si="20"/>
        <v>0.4756878557874763</v>
      </c>
      <c r="AS15" s="56">
        <f t="shared" si="21"/>
        <v>0.70356958096223488</v>
      </c>
      <c r="AT15" s="56">
        <f t="shared" si="22"/>
        <v>0.61184939091915835</v>
      </c>
      <c r="AU15" s="57">
        <f t="shared" si="23"/>
        <v>0.46232756945793668</v>
      </c>
      <c r="AV15" s="52">
        <v>4969</v>
      </c>
      <c r="AW15" s="52">
        <v>5467</v>
      </c>
      <c r="AX15" s="52">
        <v>5799</v>
      </c>
      <c r="AY15" s="52">
        <v>1806</v>
      </c>
      <c r="AZ15" s="58">
        <f t="shared" si="25"/>
        <v>18041</v>
      </c>
      <c r="BA15" s="52">
        <v>2906</v>
      </c>
      <c r="BB15" s="52">
        <v>4007</v>
      </c>
      <c r="BC15" s="52">
        <v>5799</v>
      </c>
      <c r="BD15" s="52">
        <v>1806</v>
      </c>
      <c r="BE15" s="59">
        <f t="shared" si="27"/>
        <v>14518</v>
      </c>
      <c r="BF15" s="52">
        <v>1813</v>
      </c>
      <c r="BG15" s="52">
        <v>2853</v>
      </c>
      <c r="BH15" s="52">
        <v>5799</v>
      </c>
      <c r="BI15" s="52">
        <v>1806</v>
      </c>
      <c r="BJ15" s="60">
        <f t="shared" si="29"/>
        <v>12271</v>
      </c>
      <c r="BK15" s="52">
        <v>958</v>
      </c>
      <c r="BL15" s="52">
        <v>1578</v>
      </c>
      <c r="BM15" s="52">
        <v>5799</v>
      </c>
      <c r="BN15" s="52">
        <v>1806</v>
      </c>
      <c r="BO15" s="55">
        <f t="shared" si="31"/>
        <v>10141</v>
      </c>
      <c r="BP15" s="61"/>
      <c r="BQ15" s="62">
        <f t="shared" si="32"/>
        <v>0.5123736852959373</v>
      </c>
      <c r="BR15" s="62">
        <f t="shared" si="33"/>
        <v>0.64836337760910812</v>
      </c>
      <c r="BS15" s="62">
        <f t="shared" si="34"/>
        <v>1</v>
      </c>
      <c r="BT15" s="62">
        <f t="shared" si="35"/>
        <v>1</v>
      </c>
      <c r="BU15" s="63">
        <f t="shared" si="36"/>
        <v>0.70102972605401204</v>
      </c>
      <c r="BV15" s="62">
        <f t="shared" si="37"/>
        <v>0.29964941224994845</v>
      </c>
      <c r="BW15" s="62">
        <f t="shared" si="38"/>
        <v>0.47521347248576851</v>
      </c>
      <c r="BX15" s="62">
        <f t="shared" si="39"/>
        <v>1</v>
      </c>
      <c r="BY15" s="62">
        <f t="shared" si="40"/>
        <v>1</v>
      </c>
      <c r="BZ15" s="64">
        <f t="shared" si="41"/>
        <v>0.56413444725082573</v>
      </c>
      <c r="CA15" s="62">
        <f t="shared" si="42"/>
        <v>0.18694576201278615</v>
      </c>
      <c r="CB15" s="62">
        <f t="shared" si="43"/>
        <v>0.33835388994307403</v>
      </c>
      <c r="CC15" s="62">
        <f t="shared" si="44"/>
        <v>1</v>
      </c>
      <c r="CD15" s="62">
        <f t="shared" si="45"/>
        <v>1</v>
      </c>
      <c r="CE15" s="65">
        <f t="shared" si="46"/>
        <v>0.47682144938799298</v>
      </c>
      <c r="CF15" s="62">
        <f t="shared" si="47"/>
        <v>9.8783254279232832E-2</v>
      </c>
      <c r="CG15" s="62">
        <f t="shared" si="48"/>
        <v>0.18714421252371916</v>
      </c>
      <c r="CH15" s="62">
        <f t="shared" si="49"/>
        <v>1</v>
      </c>
      <c r="CI15" s="62">
        <f t="shared" si="50"/>
        <v>1</v>
      </c>
      <c r="CJ15" s="66">
        <f t="shared" si="51"/>
        <v>0.39405478919759085</v>
      </c>
      <c r="CK15" s="62">
        <f t="shared" si="52"/>
        <v>0.27443802845947618</v>
      </c>
      <c r="CL15" s="62">
        <f t="shared" si="52"/>
        <v>0.41226873814041742</v>
      </c>
      <c r="CM15" s="62">
        <f t="shared" si="52"/>
        <v>1</v>
      </c>
      <c r="CN15" s="62">
        <f t="shared" si="52"/>
        <v>1</v>
      </c>
      <c r="CO15" s="67">
        <f t="shared" si="53"/>
        <v>0.53401010297260543</v>
      </c>
      <c r="CP15" s="48"/>
    </row>
    <row r="16" spans="1:94" ht="30.75" customHeight="1" x14ac:dyDescent="0.3">
      <c r="A16" s="49">
        <v>12</v>
      </c>
      <c r="B16" s="50" t="s">
        <v>41</v>
      </c>
      <c r="C16" s="50" t="s">
        <v>48</v>
      </c>
      <c r="D16" s="51">
        <v>45901</v>
      </c>
      <c r="E16" s="52">
        <v>252</v>
      </c>
      <c r="F16" s="52">
        <v>243</v>
      </c>
      <c r="G16" s="53">
        <f t="shared" si="1"/>
        <v>0.9642857142857143</v>
      </c>
      <c r="H16" s="52">
        <v>8992</v>
      </c>
      <c r="I16" s="52">
        <v>7579</v>
      </c>
      <c r="J16" s="52">
        <v>4939</v>
      </c>
      <c r="K16" s="52">
        <v>3344</v>
      </c>
      <c r="L16" s="54">
        <f t="shared" si="3"/>
        <v>24854</v>
      </c>
      <c r="M16" s="52">
        <v>7767</v>
      </c>
      <c r="N16" s="52">
        <v>6649</v>
      </c>
      <c r="O16" s="52">
        <v>4476</v>
      </c>
      <c r="P16" s="52">
        <v>3076</v>
      </c>
      <c r="Q16" s="54">
        <f t="shared" si="5"/>
        <v>21968</v>
      </c>
      <c r="R16" s="52">
        <v>629</v>
      </c>
      <c r="S16" s="52">
        <v>147</v>
      </c>
      <c r="T16" s="52">
        <v>14</v>
      </c>
      <c r="U16" s="52">
        <v>1</v>
      </c>
      <c r="V16" s="55">
        <f t="shared" si="7"/>
        <v>791</v>
      </c>
      <c r="W16" s="52">
        <v>1737</v>
      </c>
      <c r="X16" s="52">
        <v>936</v>
      </c>
      <c r="Y16" s="52">
        <v>210</v>
      </c>
      <c r="Z16" s="52">
        <v>54</v>
      </c>
      <c r="AA16" s="55">
        <f t="shared" si="9"/>
        <v>2937</v>
      </c>
      <c r="AB16" s="52">
        <v>3115</v>
      </c>
      <c r="AC16" s="52">
        <v>2283</v>
      </c>
      <c r="AD16" s="52">
        <v>1242</v>
      </c>
      <c r="AE16" s="52">
        <v>334</v>
      </c>
      <c r="AF16" s="55">
        <f t="shared" si="11"/>
        <v>6974</v>
      </c>
      <c r="AG16" s="52">
        <v>2286</v>
      </c>
      <c r="AH16" s="52">
        <v>3283</v>
      </c>
      <c r="AI16" s="52">
        <v>3010</v>
      </c>
      <c r="AJ16" s="52">
        <v>2687</v>
      </c>
      <c r="AK16" s="55">
        <f t="shared" si="13"/>
        <v>11266</v>
      </c>
      <c r="AL16" s="56">
        <f t="shared" si="14"/>
        <v>0.40105574868031413</v>
      </c>
      <c r="AM16" s="56">
        <f t="shared" si="15"/>
        <v>0.34335990374492403</v>
      </c>
      <c r="AN16" s="56">
        <f t="shared" si="16"/>
        <v>0.27747989276139412</v>
      </c>
      <c r="AO16" s="56">
        <f t="shared" si="17"/>
        <v>0.10858257477243173</v>
      </c>
      <c r="AP16" s="57">
        <f t="shared" si="18"/>
        <v>0.31746176256372904</v>
      </c>
      <c r="AQ16" s="56">
        <f t="shared" si="19"/>
        <v>0.29432213209733488</v>
      </c>
      <c r="AR16" s="56">
        <f t="shared" si="20"/>
        <v>0.49375845991878475</v>
      </c>
      <c r="AS16" s="56">
        <f t="shared" si="21"/>
        <v>0.67247542448614839</v>
      </c>
      <c r="AT16" s="56">
        <f t="shared" si="22"/>
        <v>0.87353706111833551</v>
      </c>
      <c r="AU16" s="57">
        <f t="shared" si="23"/>
        <v>0.512836853605244</v>
      </c>
      <c r="AV16" s="52">
        <v>5513</v>
      </c>
      <c r="AW16" s="52">
        <v>4809</v>
      </c>
      <c r="AX16" s="52">
        <v>3544</v>
      </c>
      <c r="AY16" s="52">
        <v>2695</v>
      </c>
      <c r="AZ16" s="58">
        <f t="shared" si="25"/>
        <v>16561</v>
      </c>
      <c r="BA16" s="52">
        <v>4128</v>
      </c>
      <c r="BB16" s="52">
        <v>3584</v>
      </c>
      <c r="BC16" s="52">
        <v>2915</v>
      </c>
      <c r="BD16" s="52">
        <v>2183</v>
      </c>
      <c r="BE16" s="59">
        <f t="shared" si="27"/>
        <v>12810</v>
      </c>
      <c r="BF16" s="52">
        <v>3016</v>
      </c>
      <c r="BG16" s="52">
        <v>3184</v>
      </c>
      <c r="BH16" s="52">
        <v>2683</v>
      </c>
      <c r="BI16" s="52">
        <v>2068</v>
      </c>
      <c r="BJ16" s="60">
        <f t="shared" si="29"/>
        <v>10951</v>
      </c>
      <c r="BK16" s="52">
        <v>3419</v>
      </c>
      <c r="BL16" s="52">
        <v>3007</v>
      </c>
      <c r="BM16" s="52">
        <v>2264</v>
      </c>
      <c r="BN16" s="52">
        <v>1273</v>
      </c>
      <c r="BO16" s="55">
        <f t="shared" si="31"/>
        <v>9963</v>
      </c>
      <c r="BP16" s="61"/>
      <c r="BQ16" s="62">
        <f t="shared" si="32"/>
        <v>0.70979786275267154</v>
      </c>
      <c r="BR16" s="62">
        <f t="shared" si="33"/>
        <v>0.72326665664009626</v>
      </c>
      <c r="BS16" s="62">
        <f t="shared" si="34"/>
        <v>0.79177837354781055</v>
      </c>
      <c r="BT16" s="62">
        <f t="shared" si="35"/>
        <v>0.87613784135240569</v>
      </c>
      <c r="BU16" s="63">
        <f t="shared" si="36"/>
        <v>0.75386926438455937</v>
      </c>
      <c r="BV16" s="62">
        <f t="shared" si="37"/>
        <v>0.53147933565083039</v>
      </c>
      <c r="BW16" s="62">
        <f t="shared" si="38"/>
        <v>0.53902842532711681</v>
      </c>
      <c r="BX16" s="62">
        <f t="shared" si="39"/>
        <v>0.65125111706881145</v>
      </c>
      <c r="BY16" s="62">
        <f t="shared" si="40"/>
        <v>0.70968790637191159</v>
      </c>
      <c r="BZ16" s="64">
        <f t="shared" si="41"/>
        <v>0.58312090313182807</v>
      </c>
      <c r="CA16" s="62">
        <f t="shared" si="42"/>
        <v>0.38830951461310675</v>
      </c>
      <c r="CB16" s="62">
        <f t="shared" si="43"/>
        <v>0.47886900285757256</v>
      </c>
      <c r="CC16" s="62">
        <f t="shared" si="44"/>
        <v>0.59941912421805188</v>
      </c>
      <c r="CD16" s="62">
        <f t="shared" si="45"/>
        <v>0.67230169050715216</v>
      </c>
      <c r="CE16" s="65">
        <f t="shared" si="46"/>
        <v>0.49849781500364165</v>
      </c>
      <c r="CF16" s="62">
        <f t="shared" si="47"/>
        <v>0.44019569975537531</v>
      </c>
      <c r="CG16" s="62">
        <f t="shared" si="48"/>
        <v>0.45224845841479921</v>
      </c>
      <c r="CH16" s="62">
        <f t="shared" si="49"/>
        <v>0.50580875781948165</v>
      </c>
      <c r="CI16" s="62">
        <f t="shared" si="50"/>
        <v>0.41384915474642392</v>
      </c>
      <c r="CJ16" s="66">
        <f t="shared" si="51"/>
        <v>0.45352330662782231</v>
      </c>
      <c r="CK16" s="62">
        <f t="shared" si="52"/>
        <v>0.51744560319299593</v>
      </c>
      <c r="CL16" s="62">
        <f t="shared" si="52"/>
        <v>0.5483531358098962</v>
      </c>
      <c r="CM16" s="62">
        <f t="shared" si="52"/>
        <v>0.63706434316353899</v>
      </c>
      <c r="CN16" s="62">
        <f t="shared" si="52"/>
        <v>0.66799414824447345</v>
      </c>
      <c r="CO16" s="67">
        <f t="shared" si="53"/>
        <v>0.57225282228696284</v>
      </c>
      <c r="CP16" s="48"/>
    </row>
    <row r="17" spans="1:94" ht="30.75" customHeight="1" x14ac:dyDescent="0.3">
      <c r="A17" s="36" t="s">
        <v>49</v>
      </c>
      <c r="B17" s="37"/>
      <c r="C17" s="38"/>
      <c r="D17" s="39"/>
      <c r="E17" s="40">
        <f t="shared" ref="E17:F17" si="66">SUM(E18:E20)</f>
        <v>532</v>
      </c>
      <c r="F17" s="40">
        <f t="shared" si="66"/>
        <v>334</v>
      </c>
      <c r="G17" s="41">
        <f t="shared" si="1"/>
        <v>0.6278195488721805</v>
      </c>
      <c r="H17" s="40">
        <f t="shared" ref="H17:K17" si="67">SUM(H18:H20)</f>
        <v>12739</v>
      </c>
      <c r="I17" s="40">
        <f t="shared" si="67"/>
        <v>10326</v>
      </c>
      <c r="J17" s="40">
        <f t="shared" si="67"/>
        <v>7199</v>
      </c>
      <c r="K17" s="40">
        <f t="shared" si="67"/>
        <v>4327</v>
      </c>
      <c r="L17" s="42">
        <f t="shared" si="3"/>
        <v>34591</v>
      </c>
      <c r="M17" s="40">
        <f t="shared" ref="M17:P17" si="68">SUM(M18:M20)</f>
        <v>9425</v>
      </c>
      <c r="N17" s="40">
        <f t="shared" si="68"/>
        <v>8140</v>
      </c>
      <c r="O17" s="40">
        <f t="shared" si="68"/>
        <v>5578</v>
      </c>
      <c r="P17" s="40">
        <f t="shared" si="68"/>
        <v>3445</v>
      </c>
      <c r="Q17" s="42">
        <f t="shared" si="5"/>
        <v>26588</v>
      </c>
      <c r="R17" s="40">
        <f t="shared" ref="R17:U17" si="69">SUM(R18:R20)</f>
        <v>1195</v>
      </c>
      <c r="S17" s="40">
        <f t="shared" si="69"/>
        <v>470</v>
      </c>
      <c r="T17" s="40">
        <f t="shared" si="69"/>
        <v>398</v>
      </c>
      <c r="U17" s="40">
        <f t="shared" si="69"/>
        <v>5</v>
      </c>
      <c r="V17" s="43">
        <f t="shared" si="7"/>
        <v>2068</v>
      </c>
      <c r="W17" s="40">
        <f t="shared" ref="W17:Z17" si="70">SUM(W18:W20)</f>
        <v>2242</v>
      </c>
      <c r="X17" s="40">
        <f t="shared" si="70"/>
        <v>2523</v>
      </c>
      <c r="Y17" s="40">
        <f t="shared" si="70"/>
        <v>762</v>
      </c>
      <c r="Z17" s="40">
        <f t="shared" si="70"/>
        <v>8</v>
      </c>
      <c r="AA17" s="43">
        <f t="shared" si="9"/>
        <v>5535</v>
      </c>
      <c r="AB17" s="40">
        <f t="shared" ref="AB17:AE17" si="71">SUM(AB18:AB20)</f>
        <v>3090</v>
      </c>
      <c r="AC17" s="40">
        <f t="shared" si="71"/>
        <v>2006</v>
      </c>
      <c r="AD17" s="40">
        <f t="shared" si="71"/>
        <v>1483</v>
      </c>
      <c r="AE17" s="40">
        <f t="shared" si="71"/>
        <v>408</v>
      </c>
      <c r="AF17" s="43">
        <f t="shared" si="11"/>
        <v>6987</v>
      </c>
      <c r="AG17" s="40">
        <f t="shared" ref="AG17:AJ17" si="72">SUM(AG18:AG20)</f>
        <v>2898</v>
      </c>
      <c r="AH17" s="40">
        <f t="shared" si="72"/>
        <v>3141</v>
      </c>
      <c r="AI17" s="40">
        <f t="shared" si="72"/>
        <v>2935</v>
      </c>
      <c r="AJ17" s="40">
        <f t="shared" si="72"/>
        <v>3024</v>
      </c>
      <c r="AK17" s="43">
        <f t="shared" si="13"/>
        <v>11998</v>
      </c>
      <c r="AL17" s="44">
        <f t="shared" si="14"/>
        <v>0.32785145888594164</v>
      </c>
      <c r="AM17" s="44">
        <f t="shared" si="15"/>
        <v>0.24643734643734644</v>
      </c>
      <c r="AN17" s="44">
        <f t="shared" si="16"/>
        <v>0.26586590175690211</v>
      </c>
      <c r="AO17" s="44">
        <f t="shared" si="17"/>
        <v>0.11843251088534107</v>
      </c>
      <c r="AP17" s="44">
        <f t="shared" si="18"/>
        <v>0.26278772378516624</v>
      </c>
      <c r="AQ17" s="44">
        <f t="shared" si="19"/>
        <v>0.30748010610079574</v>
      </c>
      <c r="AR17" s="44">
        <f t="shared" si="20"/>
        <v>0.38587223587223585</v>
      </c>
      <c r="AS17" s="44">
        <f t="shared" si="21"/>
        <v>0.52617425600573686</v>
      </c>
      <c r="AT17" s="44">
        <f t="shared" si="22"/>
        <v>0.8777939042089985</v>
      </c>
      <c r="AU17" s="44">
        <f t="shared" si="23"/>
        <v>0.45125620580713105</v>
      </c>
      <c r="AV17" s="40">
        <f t="shared" ref="AV17:AY17" si="73">SUM(AV18:AV20)</f>
        <v>3251</v>
      </c>
      <c r="AW17" s="40">
        <f t="shared" si="73"/>
        <v>5012</v>
      </c>
      <c r="AX17" s="40">
        <f t="shared" si="73"/>
        <v>4370</v>
      </c>
      <c r="AY17" s="40">
        <f t="shared" si="73"/>
        <v>2844</v>
      </c>
      <c r="AZ17" s="43">
        <f t="shared" si="25"/>
        <v>15477</v>
      </c>
      <c r="BA17" s="40">
        <f t="shared" ref="BA17:BD17" si="74">SUM(BA18:BA20)</f>
        <v>3133</v>
      </c>
      <c r="BB17" s="40">
        <f t="shared" si="74"/>
        <v>3849</v>
      </c>
      <c r="BC17" s="40">
        <f t="shared" si="74"/>
        <v>4429</v>
      </c>
      <c r="BD17" s="40">
        <f t="shared" si="74"/>
        <v>2640</v>
      </c>
      <c r="BE17" s="43">
        <f t="shared" si="27"/>
        <v>14051</v>
      </c>
      <c r="BF17" s="40">
        <f t="shared" ref="BF17:BI17" si="75">SUM(BF18:BF20)</f>
        <v>980</v>
      </c>
      <c r="BG17" s="40">
        <f t="shared" si="75"/>
        <v>3210</v>
      </c>
      <c r="BH17" s="40">
        <f t="shared" si="75"/>
        <v>3753</v>
      </c>
      <c r="BI17" s="40">
        <f t="shared" si="75"/>
        <v>1954</v>
      </c>
      <c r="BJ17" s="43">
        <f t="shared" si="29"/>
        <v>9897</v>
      </c>
      <c r="BK17" s="40">
        <f t="shared" ref="BK17:BN17" si="76">SUM(BK18:BK20)</f>
        <v>236</v>
      </c>
      <c r="BL17" s="40">
        <f t="shared" si="76"/>
        <v>2715</v>
      </c>
      <c r="BM17" s="40">
        <f t="shared" si="76"/>
        <v>2005</v>
      </c>
      <c r="BN17" s="40">
        <f t="shared" si="76"/>
        <v>1579</v>
      </c>
      <c r="BO17" s="43">
        <f t="shared" si="31"/>
        <v>6535</v>
      </c>
      <c r="BP17" s="45"/>
      <c r="BQ17" s="46">
        <f t="shared" si="32"/>
        <v>0.34493368700265253</v>
      </c>
      <c r="BR17" s="46">
        <f t="shared" si="33"/>
        <v>0.61572481572481574</v>
      </c>
      <c r="BS17" s="46">
        <f t="shared" si="34"/>
        <v>0.78343492291143779</v>
      </c>
      <c r="BT17" s="46">
        <f t="shared" si="35"/>
        <v>0.82554426705370099</v>
      </c>
      <c r="BU17" s="46">
        <f t="shared" si="36"/>
        <v>0.58210470889122912</v>
      </c>
      <c r="BV17" s="46">
        <f t="shared" si="37"/>
        <v>0.33241379310344826</v>
      </c>
      <c r="BW17" s="46">
        <f t="shared" si="38"/>
        <v>0.47285012285012284</v>
      </c>
      <c r="BX17" s="46">
        <f t="shared" si="39"/>
        <v>0.79401219074937257</v>
      </c>
      <c r="BY17" s="46">
        <f t="shared" si="40"/>
        <v>0.76632801161103048</v>
      </c>
      <c r="BZ17" s="47">
        <f t="shared" si="41"/>
        <v>0.52847149089814949</v>
      </c>
      <c r="CA17" s="46">
        <f t="shared" si="42"/>
        <v>0.1039787798408488</v>
      </c>
      <c r="CB17" s="46">
        <f t="shared" si="43"/>
        <v>0.39434889434889436</v>
      </c>
      <c r="CC17" s="46">
        <f t="shared" si="44"/>
        <v>0.67282179992828972</v>
      </c>
      <c r="CD17" s="46">
        <f t="shared" si="45"/>
        <v>0.56719883889695211</v>
      </c>
      <c r="CE17" s="47">
        <f t="shared" si="46"/>
        <v>0.37223559500526554</v>
      </c>
      <c r="CF17" s="46">
        <f t="shared" si="47"/>
        <v>2.5039787798408489E-2</v>
      </c>
      <c r="CG17" s="46">
        <f t="shared" si="48"/>
        <v>0.33353808353808356</v>
      </c>
      <c r="CH17" s="46">
        <f t="shared" si="49"/>
        <v>0.35944783076371462</v>
      </c>
      <c r="CI17" s="46">
        <f t="shared" si="50"/>
        <v>0.45834542815674889</v>
      </c>
      <c r="CJ17" s="47">
        <f t="shared" si="51"/>
        <v>0.24578757334135701</v>
      </c>
      <c r="CK17" s="46">
        <f t="shared" si="52"/>
        <v>0.20159151193633953</v>
      </c>
      <c r="CL17" s="46">
        <f t="shared" si="52"/>
        <v>0.45411547911547911</v>
      </c>
      <c r="CM17" s="46">
        <f t="shared" si="52"/>
        <v>0.65242918608820366</v>
      </c>
      <c r="CN17" s="46">
        <f t="shared" si="52"/>
        <v>0.65435413642960805</v>
      </c>
      <c r="CO17" s="47">
        <f t="shared" si="53"/>
        <v>0.43214984203400031</v>
      </c>
      <c r="CP17" s="48"/>
    </row>
    <row r="18" spans="1:94" ht="30.75" customHeight="1" x14ac:dyDescent="0.3">
      <c r="A18" s="49">
        <v>13</v>
      </c>
      <c r="B18" s="50" t="s">
        <v>50</v>
      </c>
      <c r="C18" s="50" t="s">
        <v>51</v>
      </c>
      <c r="D18" s="51">
        <v>45901</v>
      </c>
      <c r="E18" s="73">
        <v>252</v>
      </c>
      <c r="F18" s="74">
        <v>145</v>
      </c>
      <c r="G18" s="53">
        <f t="shared" si="1"/>
        <v>0.57539682539682535</v>
      </c>
      <c r="H18" s="73">
        <v>4694</v>
      </c>
      <c r="I18" s="73">
        <v>3093</v>
      </c>
      <c r="J18" s="73">
        <v>2716</v>
      </c>
      <c r="K18" s="73">
        <v>1512</v>
      </c>
      <c r="L18" s="54">
        <f t="shared" si="3"/>
        <v>12015</v>
      </c>
      <c r="M18" s="75">
        <v>3513</v>
      </c>
      <c r="N18" s="75">
        <v>2957</v>
      </c>
      <c r="O18" s="75">
        <v>2673</v>
      </c>
      <c r="P18" s="75">
        <v>1378</v>
      </c>
      <c r="Q18" s="54">
        <f t="shared" si="5"/>
        <v>10521</v>
      </c>
      <c r="R18" s="74">
        <v>403</v>
      </c>
      <c r="S18" s="74">
        <v>167</v>
      </c>
      <c r="T18" s="74">
        <v>101</v>
      </c>
      <c r="U18" s="74">
        <v>0</v>
      </c>
      <c r="V18" s="55">
        <f t="shared" si="7"/>
        <v>671</v>
      </c>
      <c r="W18" s="76">
        <v>618</v>
      </c>
      <c r="X18" s="52">
        <v>498</v>
      </c>
      <c r="Y18" s="52">
        <v>369</v>
      </c>
      <c r="Z18" s="52">
        <v>0</v>
      </c>
      <c r="AA18" s="55">
        <f t="shared" si="9"/>
        <v>1485</v>
      </c>
      <c r="AB18" s="52">
        <v>948</v>
      </c>
      <c r="AC18" s="52">
        <v>603</v>
      </c>
      <c r="AD18" s="52">
        <v>748</v>
      </c>
      <c r="AE18" s="52">
        <v>255</v>
      </c>
      <c r="AF18" s="55">
        <f t="shared" si="11"/>
        <v>2554</v>
      </c>
      <c r="AG18" s="52">
        <v>1544</v>
      </c>
      <c r="AH18" s="52">
        <v>1689</v>
      </c>
      <c r="AI18" s="52">
        <v>1455</v>
      </c>
      <c r="AJ18" s="52">
        <v>1123</v>
      </c>
      <c r="AK18" s="55">
        <f t="shared" si="13"/>
        <v>5811</v>
      </c>
      <c r="AL18" s="56">
        <f t="shared" si="14"/>
        <v>0.2698548249359522</v>
      </c>
      <c r="AM18" s="56">
        <f t="shared" si="15"/>
        <v>0.203922894825837</v>
      </c>
      <c r="AN18" s="56">
        <f t="shared" si="16"/>
        <v>0.27983539094650206</v>
      </c>
      <c r="AO18" s="56">
        <f t="shared" si="17"/>
        <v>0.18505079825834542</v>
      </c>
      <c r="AP18" s="57">
        <f t="shared" si="18"/>
        <v>0.24275259005797928</v>
      </c>
      <c r="AQ18" s="56">
        <f t="shared" si="19"/>
        <v>0.43951038998007402</v>
      </c>
      <c r="AR18" s="56">
        <f t="shared" si="20"/>
        <v>0.57118701386540416</v>
      </c>
      <c r="AS18" s="56">
        <f t="shared" si="21"/>
        <v>0.54433221099887763</v>
      </c>
      <c r="AT18" s="56">
        <f t="shared" si="22"/>
        <v>0.81494920174165453</v>
      </c>
      <c r="AU18" s="57">
        <f t="shared" si="23"/>
        <v>0.55232392358140858</v>
      </c>
      <c r="AV18" s="52">
        <v>1361</v>
      </c>
      <c r="AW18" s="52">
        <v>2305</v>
      </c>
      <c r="AX18" s="52">
        <v>2588</v>
      </c>
      <c r="AY18" s="52">
        <v>1255</v>
      </c>
      <c r="AZ18" s="58">
        <f t="shared" si="25"/>
        <v>7509</v>
      </c>
      <c r="BA18" s="52">
        <v>1117</v>
      </c>
      <c r="BB18" s="52">
        <v>1203</v>
      </c>
      <c r="BC18" s="52">
        <v>2011</v>
      </c>
      <c r="BD18" s="52">
        <v>1189</v>
      </c>
      <c r="BE18" s="59">
        <f t="shared" si="27"/>
        <v>5520</v>
      </c>
      <c r="BF18" s="52">
        <v>501</v>
      </c>
      <c r="BG18" s="52">
        <v>1025</v>
      </c>
      <c r="BH18" s="52">
        <v>2201</v>
      </c>
      <c r="BI18" s="52">
        <v>971</v>
      </c>
      <c r="BJ18" s="60">
        <f t="shared" si="29"/>
        <v>4698</v>
      </c>
      <c r="BK18" s="52">
        <v>98</v>
      </c>
      <c r="BL18" s="52">
        <v>558</v>
      </c>
      <c r="BM18" s="52">
        <v>803</v>
      </c>
      <c r="BN18" s="52">
        <v>679</v>
      </c>
      <c r="BO18" s="55">
        <f t="shared" si="31"/>
        <v>2138</v>
      </c>
      <c r="BP18" s="61"/>
      <c r="BQ18" s="62">
        <f t="shared" si="32"/>
        <v>0.38741816111585542</v>
      </c>
      <c r="BR18" s="62">
        <f t="shared" si="33"/>
        <v>0.77950625634088599</v>
      </c>
      <c r="BS18" s="62">
        <f t="shared" si="34"/>
        <v>0.96820052375607935</v>
      </c>
      <c r="BT18" s="62">
        <f t="shared" si="35"/>
        <v>0.91074020319303339</v>
      </c>
      <c r="BU18" s="63">
        <f t="shared" si="36"/>
        <v>0.71371542629027662</v>
      </c>
      <c r="BV18" s="62">
        <f t="shared" si="37"/>
        <v>0.31796185596356391</v>
      </c>
      <c r="BW18" s="62">
        <f t="shared" si="38"/>
        <v>0.40683124788637132</v>
      </c>
      <c r="BX18" s="62">
        <f t="shared" si="39"/>
        <v>0.75233819678264124</v>
      </c>
      <c r="BY18" s="62">
        <f t="shared" si="40"/>
        <v>0.86284470246734402</v>
      </c>
      <c r="BZ18" s="64">
        <f t="shared" si="41"/>
        <v>0.52466495580268036</v>
      </c>
      <c r="CA18" s="62">
        <f t="shared" si="42"/>
        <v>0.1426131511528608</v>
      </c>
      <c r="CB18" s="62">
        <f t="shared" si="43"/>
        <v>0.34663510314507945</v>
      </c>
      <c r="CC18" s="62">
        <f t="shared" si="44"/>
        <v>0.82341937897493456</v>
      </c>
      <c r="CD18" s="62">
        <f t="shared" si="45"/>
        <v>0.70464441219158203</v>
      </c>
      <c r="CE18" s="65">
        <f t="shared" si="46"/>
        <v>0.446535500427716</v>
      </c>
      <c r="CF18" s="62">
        <f t="shared" si="47"/>
        <v>2.7896384856248221E-2</v>
      </c>
      <c r="CG18" s="62">
        <f t="shared" si="48"/>
        <v>0.18870476834629693</v>
      </c>
      <c r="CH18" s="62">
        <f t="shared" si="49"/>
        <v>0.30041152263374488</v>
      </c>
      <c r="CI18" s="62">
        <f t="shared" si="50"/>
        <v>0.49274310595065313</v>
      </c>
      <c r="CJ18" s="66">
        <f t="shared" si="51"/>
        <v>0.20321262237429902</v>
      </c>
      <c r="CK18" s="62">
        <f t="shared" si="52"/>
        <v>0.21897238827213208</v>
      </c>
      <c r="CL18" s="62">
        <f t="shared" si="52"/>
        <v>0.43041934392965842</v>
      </c>
      <c r="CM18" s="62">
        <f t="shared" si="52"/>
        <v>0.71109240553684994</v>
      </c>
      <c r="CN18" s="62">
        <f t="shared" si="52"/>
        <v>0.74274310595065318</v>
      </c>
      <c r="CO18" s="67">
        <f t="shared" si="53"/>
        <v>0.47203212622374302</v>
      </c>
      <c r="CP18" s="48"/>
    </row>
    <row r="19" spans="1:94" ht="30.75" customHeight="1" x14ac:dyDescent="0.3">
      <c r="A19" s="49">
        <v>15</v>
      </c>
      <c r="B19" s="50" t="s">
        <v>50</v>
      </c>
      <c r="C19" s="50" t="s">
        <v>52</v>
      </c>
      <c r="D19" s="51">
        <v>45901</v>
      </c>
      <c r="E19" s="74">
        <v>230</v>
      </c>
      <c r="F19" s="74">
        <v>151</v>
      </c>
      <c r="G19" s="53">
        <f t="shared" si="1"/>
        <v>0.65652173913043477</v>
      </c>
      <c r="H19" s="73">
        <v>6802</v>
      </c>
      <c r="I19" s="73">
        <v>6074</v>
      </c>
      <c r="J19" s="73">
        <v>3864</v>
      </c>
      <c r="K19" s="73">
        <v>2385</v>
      </c>
      <c r="L19" s="54">
        <f t="shared" si="3"/>
        <v>19125</v>
      </c>
      <c r="M19" s="75">
        <v>4725</v>
      </c>
      <c r="N19" s="75">
        <v>4262</v>
      </c>
      <c r="O19" s="75">
        <v>2321</v>
      </c>
      <c r="P19" s="75">
        <v>1749</v>
      </c>
      <c r="Q19" s="54">
        <f t="shared" si="5"/>
        <v>13057</v>
      </c>
      <c r="R19" s="74">
        <v>679</v>
      </c>
      <c r="S19" s="74">
        <v>201</v>
      </c>
      <c r="T19" s="74">
        <v>199</v>
      </c>
      <c r="U19" s="74">
        <v>0</v>
      </c>
      <c r="V19" s="55">
        <f t="shared" si="7"/>
        <v>1079</v>
      </c>
      <c r="W19" s="52">
        <v>1311</v>
      </c>
      <c r="X19" s="52">
        <v>1708</v>
      </c>
      <c r="Y19" s="52">
        <v>308</v>
      </c>
      <c r="Z19" s="52">
        <v>0</v>
      </c>
      <c r="AA19" s="55">
        <f t="shared" si="9"/>
        <v>3327</v>
      </c>
      <c r="AB19" s="52">
        <v>1535</v>
      </c>
      <c r="AC19" s="52">
        <v>1202</v>
      </c>
      <c r="AD19" s="52">
        <v>612</v>
      </c>
      <c r="AE19" s="52">
        <v>51</v>
      </c>
      <c r="AF19" s="55">
        <f t="shared" si="11"/>
        <v>3400</v>
      </c>
      <c r="AG19" s="52">
        <v>1200</v>
      </c>
      <c r="AH19" s="52">
        <v>1151</v>
      </c>
      <c r="AI19" s="52">
        <v>1202</v>
      </c>
      <c r="AJ19" s="52">
        <v>1698</v>
      </c>
      <c r="AK19" s="55">
        <f t="shared" si="13"/>
        <v>5251</v>
      </c>
      <c r="AL19" s="56">
        <f t="shared" si="14"/>
        <v>0.32486772486772486</v>
      </c>
      <c r="AM19" s="56">
        <f t="shared" si="15"/>
        <v>0.28202721726888785</v>
      </c>
      <c r="AN19" s="56">
        <f t="shared" si="16"/>
        <v>0.26367944851357172</v>
      </c>
      <c r="AO19" s="56">
        <f t="shared" si="17"/>
        <v>2.9159519725557463E-2</v>
      </c>
      <c r="AP19" s="57">
        <f t="shared" si="18"/>
        <v>0.26039672206479281</v>
      </c>
      <c r="AQ19" s="56">
        <f t="shared" si="19"/>
        <v>0.25396825396825395</v>
      </c>
      <c r="AR19" s="56">
        <f t="shared" si="20"/>
        <v>0.27006100422336932</v>
      </c>
      <c r="AS19" s="56">
        <f t="shared" si="21"/>
        <v>0.51788022404136147</v>
      </c>
      <c r="AT19" s="56">
        <f t="shared" si="22"/>
        <v>0.97084048027444259</v>
      </c>
      <c r="AU19" s="57">
        <f t="shared" si="23"/>
        <v>0.40215976104771389</v>
      </c>
      <c r="AV19" s="77">
        <v>1089</v>
      </c>
      <c r="AW19" s="77">
        <v>2103</v>
      </c>
      <c r="AX19" s="77">
        <v>1308</v>
      </c>
      <c r="AY19" s="77">
        <v>1300</v>
      </c>
      <c r="AZ19" s="58">
        <f t="shared" si="25"/>
        <v>5800</v>
      </c>
      <c r="BA19" s="52">
        <v>1508</v>
      </c>
      <c r="BB19" s="52">
        <v>2124</v>
      </c>
      <c r="BC19" s="52">
        <v>2118</v>
      </c>
      <c r="BD19" s="52">
        <v>1174</v>
      </c>
      <c r="BE19" s="59">
        <f t="shared" si="27"/>
        <v>6924</v>
      </c>
      <c r="BF19" s="52">
        <v>401</v>
      </c>
      <c r="BG19" s="52">
        <v>2007</v>
      </c>
      <c r="BH19" s="52">
        <v>1241</v>
      </c>
      <c r="BI19" s="52">
        <v>812</v>
      </c>
      <c r="BJ19" s="60">
        <f t="shared" si="29"/>
        <v>4461</v>
      </c>
      <c r="BK19" s="52">
        <v>111</v>
      </c>
      <c r="BL19" s="52">
        <v>1679</v>
      </c>
      <c r="BM19" s="52">
        <v>895</v>
      </c>
      <c r="BN19" s="52">
        <v>789</v>
      </c>
      <c r="BO19" s="55">
        <f t="shared" si="31"/>
        <v>3474</v>
      </c>
      <c r="BP19" s="61"/>
      <c r="BQ19" s="62">
        <f t="shared" si="32"/>
        <v>0.23047619047619047</v>
      </c>
      <c r="BR19" s="62">
        <f t="shared" si="33"/>
        <v>0.49343031440638196</v>
      </c>
      <c r="BS19" s="62">
        <f t="shared" si="34"/>
        <v>0.56355019388194738</v>
      </c>
      <c r="BT19" s="62">
        <f t="shared" si="35"/>
        <v>0.74328187535734702</v>
      </c>
      <c r="BU19" s="63">
        <f t="shared" si="36"/>
        <v>0.44420617293405834</v>
      </c>
      <c r="BV19" s="62">
        <f t="shared" si="37"/>
        <v>0.31915343915343913</v>
      </c>
      <c r="BW19" s="62">
        <f t="shared" si="38"/>
        <v>0.49835757860159552</v>
      </c>
      <c r="BX19" s="62">
        <f t="shared" si="39"/>
        <v>0.91253769926755712</v>
      </c>
      <c r="BY19" s="62">
        <f t="shared" si="40"/>
        <v>0.67124070897655808</v>
      </c>
      <c r="BZ19" s="64">
        <f t="shared" si="41"/>
        <v>0.530290265757831</v>
      </c>
      <c r="CA19" s="62">
        <f t="shared" si="42"/>
        <v>8.486772486772487E-2</v>
      </c>
      <c r="CB19" s="62">
        <f t="shared" si="43"/>
        <v>0.4709056780854059</v>
      </c>
      <c r="CC19" s="62">
        <f t="shared" si="44"/>
        <v>0.53468332615252046</v>
      </c>
      <c r="CD19" s="62">
        <f t="shared" si="45"/>
        <v>0.46426529445397369</v>
      </c>
      <c r="CE19" s="65">
        <f t="shared" si="46"/>
        <v>0.3416558168032473</v>
      </c>
      <c r="CF19" s="62">
        <f t="shared" si="47"/>
        <v>2.3492063492063491E-2</v>
      </c>
      <c r="CG19" s="62">
        <f t="shared" si="48"/>
        <v>0.39394650398873771</v>
      </c>
      <c r="CH19" s="62">
        <f t="shared" si="49"/>
        <v>0.38560965101249461</v>
      </c>
      <c r="CI19" s="62">
        <f t="shared" si="50"/>
        <v>0.451114922813036</v>
      </c>
      <c r="CJ19" s="66">
        <f t="shared" si="51"/>
        <v>0.26606418013326183</v>
      </c>
      <c r="CK19" s="62">
        <f t="shared" ref="CK19:CN34" si="77">IFERROR((BQ19+BV19+CA19+CF19)/4,"")</f>
        <v>0.16449735449735448</v>
      </c>
      <c r="CL19" s="62">
        <f t="shared" si="77"/>
        <v>0.46416001877053031</v>
      </c>
      <c r="CM19" s="62">
        <f t="shared" si="77"/>
        <v>0.59909521757862993</v>
      </c>
      <c r="CN19" s="62">
        <f t="shared" si="77"/>
        <v>0.58247570040022878</v>
      </c>
      <c r="CO19" s="67">
        <f t="shared" si="53"/>
        <v>0.39555410890709958</v>
      </c>
      <c r="CP19" s="48"/>
    </row>
    <row r="20" spans="1:94" ht="30.75" customHeight="1" x14ac:dyDescent="0.3">
      <c r="A20" s="49">
        <v>16</v>
      </c>
      <c r="B20" s="50" t="s">
        <v>50</v>
      </c>
      <c r="C20" s="50" t="s">
        <v>53</v>
      </c>
      <c r="D20" s="51">
        <v>45901</v>
      </c>
      <c r="E20" s="74">
        <v>50</v>
      </c>
      <c r="F20" s="74">
        <v>38</v>
      </c>
      <c r="G20" s="53">
        <f t="shared" si="1"/>
        <v>0.76</v>
      </c>
      <c r="H20" s="73">
        <v>1243</v>
      </c>
      <c r="I20" s="73">
        <v>1159</v>
      </c>
      <c r="J20" s="73">
        <v>619</v>
      </c>
      <c r="K20" s="73">
        <v>430</v>
      </c>
      <c r="L20" s="54">
        <f t="shared" si="3"/>
        <v>3451</v>
      </c>
      <c r="M20" s="75">
        <v>1187</v>
      </c>
      <c r="N20" s="75">
        <v>921</v>
      </c>
      <c r="O20" s="75">
        <v>584</v>
      </c>
      <c r="P20" s="75">
        <v>318</v>
      </c>
      <c r="Q20" s="54">
        <f t="shared" si="5"/>
        <v>3010</v>
      </c>
      <c r="R20" s="74">
        <v>113</v>
      </c>
      <c r="S20" s="74">
        <v>102</v>
      </c>
      <c r="T20" s="74">
        <v>98</v>
      </c>
      <c r="U20" s="74">
        <v>5</v>
      </c>
      <c r="V20" s="55">
        <f t="shared" si="7"/>
        <v>318</v>
      </c>
      <c r="W20" s="52">
        <v>313</v>
      </c>
      <c r="X20" s="52">
        <v>317</v>
      </c>
      <c r="Y20" s="52">
        <v>85</v>
      </c>
      <c r="Z20" s="52">
        <v>8</v>
      </c>
      <c r="AA20" s="55">
        <f t="shared" si="9"/>
        <v>723</v>
      </c>
      <c r="AB20" s="52">
        <v>607</v>
      </c>
      <c r="AC20" s="52">
        <v>201</v>
      </c>
      <c r="AD20" s="52">
        <v>123</v>
      </c>
      <c r="AE20" s="52">
        <v>102</v>
      </c>
      <c r="AF20" s="55">
        <f t="shared" si="11"/>
        <v>1033</v>
      </c>
      <c r="AG20" s="52">
        <v>154</v>
      </c>
      <c r="AH20" s="52">
        <v>301</v>
      </c>
      <c r="AI20" s="52">
        <v>278</v>
      </c>
      <c r="AJ20" s="52">
        <v>203</v>
      </c>
      <c r="AK20" s="55">
        <f t="shared" si="13"/>
        <v>936</v>
      </c>
      <c r="AL20" s="56">
        <f t="shared" si="14"/>
        <v>0.51137320977253575</v>
      </c>
      <c r="AM20" s="56">
        <f t="shared" si="15"/>
        <v>0.21824104234527689</v>
      </c>
      <c r="AN20" s="56">
        <f t="shared" si="16"/>
        <v>0.21061643835616439</v>
      </c>
      <c r="AO20" s="56">
        <f t="shared" si="17"/>
        <v>0.32075471698113206</v>
      </c>
      <c r="AP20" s="57">
        <f t="shared" si="18"/>
        <v>0.34318936877076411</v>
      </c>
      <c r="AQ20" s="56">
        <f t="shared" si="19"/>
        <v>0.12973883740522324</v>
      </c>
      <c r="AR20" s="56">
        <f t="shared" si="20"/>
        <v>0.32681867535287729</v>
      </c>
      <c r="AS20" s="56">
        <f t="shared" si="21"/>
        <v>0.47602739726027399</v>
      </c>
      <c r="AT20" s="56">
        <f t="shared" si="22"/>
        <v>0.63836477987421381</v>
      </c>
      <c r="AU20" s="57">
        <f t="shared" si="23"/>
        <v>0.31096345514950169</v>
      </c>
      <c r="AV20" s="52">
        <v>801</v>
      </c>
      <c r="AW20" s="52">
        <v>604</v>
      </c>
      <c r="AX20" s="52">
        <v>474</v>
      </c>
      <c r="AY20" s="52">
        <v>289</v>
      </c>
      <c r="AZ20" s="58">
        <f t="shared" si="25"/>
        <v>2168</v>
      </c>
      <c r="BA20" s="52">
        <v>508</v>
      </c>
      <c r="BB20" s="52">
        <v>522</v>
      </c>
      <c r="BC20" s="52">
        <v>300</v>
      </c>
      <c r="BD20" s="52">
        <v>277</v>
      </c>
      <c r="BE20" s="59">
        <f t="shared" si="27"/>
        <v>1607</v>
      </c>
      <c r="BF20" s="52">
        <v>78</v>
      </c>
      <c r="BG20" s="52">
        <v>178</v>
      </c>
      <c r="BH20" s="52">
        <v>311</v>
      </c>
      <c r="BI20" s="52">
        <v>171</v>
      </c>
      <c r="BJ20" s="60">
        <f t="shared" si="29"/>
        <v>738</v>
      </c>
      <c r="BK20" s="52">
        <v>27</v>
      </c>
      <c r="BL20" s="52">
        <v>478</v>
      </c>
      <c r="BM20" s="52">
        <v>307</v>
      </c>
      <c r="BN20" s="52">
        <v>111</v>
      </c>
      <c r="BO20" s="55">
        <f t="shared" si="31"/>
        <v>923</v>
      </c>
      <c r="BP20" s="61"/>
      <c r="BQ20" s="62">
        <f t="shared" si="32"/>
        <v>0.67481044650379107</v>
      </c>
      <c r="BR20" s="62">
        <f t="shared" si="33"/>
        <v>0.65580890336590658</v>
      </c>
      <c r="BS20" s="62">
        <f t="shared" si="34"/>
        <v>0.81164383561643838</v>
      </c>
      <c r="BT20" s="62">
        <f t="shared" si="35"/>
        <v>0.9088050314465409</v>
      </c>
      <c r="BU20" s="63">
        <f t="shared" si="36"/>
        <v>0.72026578073089698</v>
      </c>
      <c r="BV20" s="62">
        <f t="shared" si="37"/>
        <v>0.42796967144060655</v>
      </c>
      <c r="BW20" s="62">
        <f t="shared" si="38"/>
        <v>0.5667752442996743</v>
      </c>
      <c r="BX20" s="62">
        <f t="shared" si="39"/>
        <v>0.51369863013698636</v>
      </c>
      <c r="BY20" s="62">
        <f t="shared" si="40"/>
        <v>0.87106918238993714</v>
      </c>
      <c r="BZ20" s="64">
        <f t="shared" si="41"/>
        <v>0.53388704318936875</v>
      </c>
      <c r="CA20" s="62">
        <f t="shared" si="42"/>
        <v>6.571187868576242E-2</v>
      </c>
      <c r="CB20" s="62">
        <f t="shared" si="43"/>
        <v>0.19326818675352878</v>
      </c>
      <c r="CC20" s="62">
        <f t="shared" si="44"/>
        <v>0.53253424657534243</v>
      </c>
      <c r="CD20" s="62">
        <f t="shared" si="45"/>
        <v>0.53773584905660377</v>
      </c>
      <c r="CE20" s="65">
        <f t="shared" si="46"/>
        <v>0.24518272425249169</v>
      </c>
      <c r="CF20" s="62">
        <f t="shared" si="47"/>
        <v>2.274641954507161E-2</v>
      </c>
      <c r="CG20" s="62">
        <f t="shared" si="48"/>
        <v>0.51900108577633008</v>
      </c>
      <c r="CH20" s="62">
        <f t="shared" si="49"/>
        <v>0.52568493150684936</v>
      </c>
      <c r="CI20" s="62">
        <f t="shared" si="50"/>
        <v>0.34905660377358488</v>
      </c>
      <c r="CJ20" s="66">
        <f t="shared" si="51"/>
        <v>0.30664451827242523</v>
      </c>
      <c r="CK20" s="62">
        <f t="shared" si="77"/>
        <v>0.29780960404380791</v>
      </c>
      <c r="CL20" s="62">
        <f t="shared" si="77"/>
        <v>0.48371335504885998</v>
      </c>
      <c r="CM20" s="62">
        <f t="shared" si="77"/>
        <v>0.59589041095890416</v>
      </c>
      <c r="CN20" s="62">
        <f t="shared" si="77"/>
        <v>0.66666666666666674</v>
      </c>
      <c r="CO20" s="67">
        <f t="shared" si="53"/>
        <v>0.45149501661129565</v>
      </c>
      <c r="CP20" s="48"/>
    </row>
    <row r="21" spans="1:94" ht="30.75" customHeight="1" x14ac:dyDescent="0.3">
      <c r="A21" s="36" t="s">
        <v>54</v>
      </c>
      <c r="B21" s="37"/>
      <c r="C21" s="38"/>
      <c r="D21" s="39"/>
      <c r="E21" s="40">
        <f t="shared" ref="E21:F21" si="78">SUM(E22:E28)</f>
        <v>1165</v>
      </c>
      <c r="F21" s="40">
        <f t="shared" si="78"/>
        <v>1042</v>
      </c>
      <c r="G21" s="41">
        <f t="shared" si="1"/>
        <v>0.89442060085836905</v>
      </c>
      <c r="H21" s="40">
        <f t="shared" ref="H21:K21" si="79">SUM(H22:H28)</f>
        <v>42690</v>
      </c>
      <c r="I21" s="40">
        <f t="shared" si="79"/>
        <v>37446</v>
      </c>
      <c r="J21" s="40">
        <f t="shared" si="79"/>
        <v>28634</v>
      </c>
      <c r="K21" s="40">
        <f t="shared" si="79"/>
        <v>21858</v>
      </c>
      <c r="L21" s="42">
        <f t="shared" si="3"/>
        <v>130628</v>
      </c>
      <c r="M21" s="40">
        <f t="shared" ref="M21:P21" si="80">SUM(M22:M28)</f>
        <v>39014</v>
      </c>
      <c r="N21" s="40">
        <f t="shared" si="80"/>
        <v>34888</v>
      </c>
      <c r="O21" s="40">
        <f t="shared" si="80"/>
        <v>26906</v>
      </c>
      <c r="P21" s="40">
        <f t="shared" si="80"/>
        <v>20868</v>
      </c>
      <c r="Q21" s="42">
        <f t="shared" si="5"/>
        <v>121676</v>
      </c>
      <c r="R21" s="40">
        <f t="shared" ref="R21:U21" si="81">SUM(R22:R28)</f>
        <v>2705</v>
      </c>
      <c r="S21" s="40">
        <f t="shared" si="81"/>
        <v>836</v>
      </c>
      <c r="T21" s="40">
        <f t="shared" si="81"/>
        <v>187</v>
      </c>
      <c r="U21" s="40">
        <f t="shared" si="81"/>
        <v>130</v>
      </c>
      <c r="V21" s="43">
        <f t="shared" si="7"/>
        <v>3858</v>
      </c>
      <c r="W21" s="40">
        <f t="shared" ref="W21:Z21" si="82">SUM(W22:W28)</f>
        <v>6964</v>
      </c>
      <c r="X21" s="40">
        <f t="shared" si="82"/>
        <v>2379</v>
      </c>
      <c r="Y21" s="40">
        <f t="shared" si="82"/>
        <v>1099</v>
      </c>
      <c r="Z21" s="40">
        <f t="shared" si="82"/>
        <v>192</v>
      </c>
      <c r="AA21" s="43">
        <f t="shared" si="9"/>
        <v>10634</v>
      </c>
      <c r="AB21" s="40">
        <f t="shared" ref="AB21:AE21" si="83">SUM(AB22:AB28)</f>
        <v>15713</v>
      </c>
      <c r="AC21" s="40">
        <f t="shared" si="83"/>
        <v>9336</v>
      </c>
      <c r="AD21" s="40">
        <f t="shared" si="83"/>
        <v>4570</v>
      </c>
      <c r="AE21" s="40">
        <f t="shared" si="83"/>
        <v>2317</v>
      </c>
      <c r="AF21" s="43">
        <f t="shared" si="11"/>
        <v>31936</v>
      </c>
      <c r="AG21" s="40">
        <f t="shared" ref="AG21:AJ21" si="84">SUM(AG22:AG28)</f>
        <v>13622</v>
      </c>
      <c r="AH21" s="40">
        <f t="shared" si="84"/>
        <v>22330</v>
      </c>
      <c r="AI21" s="40">
        <f t="shared" si="84"/>
        <v>21036</v>
      </c>
      <c r="AJ21" s="40">
        <f t="shared" si="84"/>
        <v>18259</v>
      </c>
      <c r="AK21" s="43">
        <f t="shared" si="13"/>
        <v>75247</v>
      </c>
      <c r="AL21" s="44">
        <f t="shared" si="14"/>
        <v>0.40275285794842874</v>
      </c>
      <c r="AM21" s="44">
        <f t="shared" si="15"/>
        <v>0.26759917450126119</v>
      </c>
      <c r="AN21" s="44">
        <f t="shared" si="16"/>
        <v>0.16985059094625735</v>
      </c>
      <c r="AO21" s="44">
        <f t="shared" si="17"/>
        <v>0.11103124400996742</v>
      </c>
      <c r="AP21" s="44">
        <f t="shared" si="18"/>
        <v>0.26246753673690787</v>
      </c>
      <c r="AQ21" s="44">
        <f t="shared" si="19"/>
        <v>0.34915671297482953</v>
      </c>
      <c r="AR21" s="44">
        <f t="shared" si="20"/>
        <v>0.6400481540930979</v>
      </c>
      <c r="AS21" s="44">
        <f t="shared" si="21"/>
        <v>0.78183304839069356</v>
      </c>
      <c r="AT21" s="44">
        <f t="shared" si="22"/>
        <v>0.87497603986965689</v>
      </c>
      <c r="AU21" s="44">
        <f t="shared" si="23"/>
        <v>0.61842105263157898</v>
      </c>
      <c r="AV21" s="40">
        <f t="shared" ref="AV21:AY21" si="85">SUM(AV22:AV28)</f>
        <v>19534</v>
      </c>
      <c r="AW21" s="40">
        <f t="shared" si="85"/>
        <v>23469</v>
      </c>
      <c r="AX21" s="40">
        <f t="shared" si="85"/>
        <v>21453</v>
      </c>
      <c r="AY21" s="40">
        <f t="shared" si="85"/>
        <v>18073</v>
      </c>
      <c r="AZ21" s="43">
        <f t="shared" si="25"/>
        <v>82529</v>
      </c>
      <c r="BA21" s="40">
        <f t="shared" ref="BA21:BD21" si="86">SUM(BA22:BA28)</f>
        <v>16100</v>
      </c>
      <c r="BB21" s="40">
        <f t="shared" si="86"/>
        <v>19164</v>
      </c>
      <c r="BC21" s="40">
        <f t="shared" si="86"/>
        <v>18518</v>
      </c>
      <c r="BD21" s="40">
        <f t="shared" si="86"/>
        <v>16641</v>
      </c>
      <c r="BE21" s="43">
        <f t="shared" si="27"/>
        <v>70423</v>
      </c>
      <c r="BF21" s="40">
        <f t="shared" ref="BF21:BI21" si="87">SUM(BF22:BF28)</f>
        <v>9273</v>
      </c>
      <c r="BG21" s="40">
        <f t="shared" si="87"/>
        <v>14271</v>
      </c>
      <c r="BH21" s="40">
        <f t="shared" si="87"/>
        <v>15747</v>
      </c>
      <c r="BI21" s="40">
        <f t="shared" si="87"/>
        <v>15263</v>
      </c>
      <c r="BJ21" s="43">
        <f t="shared" si="29"/>
        <v>54554</v>
      </c>
      <c r="BK21" s="40">
        <f t="shared" ref="BK21:BN21" si="88">SUM(BK22:BK28)</f>
        <v>4806</v>
      </c>
      <c r="BL21" s="40">
        <f t="shared" si="88"/>
        <v>9075</v>
      </c>
      <c r="BM21" s="40">
        <f t="shared" si="88"/>
        <v>10671</v>
      </c>
      <c r="BN21" s="40">
        <f t="shared" si="88"/>
        <v>11686</v>
      </c>
      <c r="BO21" s="43">
        <f t="shared" si="31"/>
        <v>36238</v>
      </c>
      <c r="BP21" s="45"/>
      <c r="BQ21" s="46">
        <f t="shared" si="32"/>
        <v>0.5006920592607782</v>
      </c>
      <c r="BR21" s="46">
        <f t="shared" si="33"/>
        <v>0.67269548268745705</v>
      </c>
      <c r="BS21" s="46">
        <f t="shared" si="34"/>
        <v>0.79733145023414853</v>
      </c>
      <c r="BT21" s="46">
        <f t="shared" si="35"/>
        <v>0.86606287138202032</v>
      </c>
      <c r="BU21" s="46">
        <f t="shared" si="36"/>
        <v>0.67826851638778396</v>
      </c>
      <c r="BV21" s="46">
        <f t="shared" si="37"/>
        <v>0.41267237401958273</v>
      </c>
      <c r="BW21" s="46">
        <f t="shared" si="38"/>
        <v>0.54930061912405415</v>
      </c>
      <c r="BX21" s="46">
        <f t="shared" si="39"/>
        <v>0.68824797442949526</v>
      </c>
      <c r="BY21" s="46">
        <f t="shared" si="40"/>
        <v>0.79744105807935595</v>
      </c>
      <c r="BZ21" s="47">
        <f t="shared" si="41"/>
        <v>0.5787747789210691</v>
      </c>
      <c r="CA21" s="46">
        <f t="shared" si="42"/>
        <v>0.23768390834059569</v>
      </c>
      <c r="CB21" s="46">
        <f t="shared" si="43"/>
        <v>0.40905182297638154</v>
      </c>
      <c r="CC21" s="46">
        <f t="shared" si="44"/>
        <v>0.58525979335464207</v>
      </c>
      <c r="CD21" s="46">
        <f t="shared" si="45"/>
        <v>0.73140693885374741</v>
      </c>
      <c r="CE21" s="47">
        <f t="shared" si="46"/>
        <v>0.44835464676682335</v>
      </c>
      <c r="CF21" s="46">
        <f t="shared" si="47"/>
        <v>0.12318654841851644</v>
      </c>
      <c r="CG21" s="46">
        <f t="shared" si="48"/>
        <v>0.26011809218069248</v>
      </c>
      <c r="CH21" s="46">
        <f t="shared" si="49"/>
        <v>0.39660298818107487</v>
      </c>
      <c r="CI21" s="46">
        <f t="shared" si="50"/>
        <v>0.55999616637914507</v>
      </c>
      <c r="CJ21" s="47">
        <f t="shared" si="51"/>
        <v>0.29782372859068346</v>
      </c>
      <c r="CK21" s="46">
        <f t="shared" si="77"/>
        <v>0.31855872250986828</v>
      </c>
      <c r="CL21" s="46">
        <f t="shared" si="77"/>
        <v>0.47279150424214628</v>
      </c>
      <c r="CM21" s="46">
        <f t="shared" si="77"/>
        <v>0.61686055154984021</v>
      </c>
      <c r="CN21" s="46">
        <f t="shared" si="77"/>
        <v>0.73872675867356719</v>
      </c>
      <c r="CO21" s="47">
        <f t="shared" si="53"/>
        <v>0.50080541766658992</v>
      </c>
      <c r="CP21" s="48"/>
    </row>
    <row r="22" spans="1:94" ht="30.75" customHeight="1" x14ac:dyDescent="0.3">
      <c r="A22" s="49">
        <v>17</v>
      </c>
      <c r="B22" s="50" t="s">
        <v>55</v>
      </c>
      <c r="C22" s="50" t="s">
        <v>56</v>
      </c>
      <c r="D22" s="78">
        <v>45901</v>
      </c>
      <c r="E22" s="52">
        <v>346</v>
      </c>
      <c r="F22" s="52">
        <v>291</v>
      </c>
      <c r="G22" s="53">
        <f t="shared" si="1"/>
        <v>0.84104046242774566</v>
      </c>
      <c r="H22" s="52">
        <v>8636</v>
      </c>
      <c r="I22" s="52">
        <v>8021</v>
      </c>
      <c r="J22" s="52">
        <v>6304</v>
      </c>
      <c r="K22" s="52">
        <v>4929</v>
      </c>
      <c r="L22" s="54">
        <f t="shared" si="3"/>
        <v>27890</v>
      </c>
      <c r="M22" s="52">
        <v>8085</v>
      </c>
      <c r="N22" s="52">
        <v>7497</v>
      </c>
      <c r="O22" s="52">
        <v>6024</v>
      </c>
      <c r="P22" s="52">
        <v>4743</v>
      </c>
      <c r="Q22" s="54">
        <f t="shared" si="5"/>
        <v>26349</v>
      </c>
      <c r="R22" s="52">
        <v>390</v>
      </c>
      <c r="S22" s="52">
        <v>71</v>
      </c>
      <c r="T22" s="52">
        <v>112</v>
      </c>
      <c r="U22" s="52">
        <v>85</v>
      </c>
      <c r="V22" s="55">
        <f t="shared" si="7"/>
        <v>658</v>
      </c>
      <c r="W22" s="52">
        <v>1476</v>
      </c>
      <c r="X22" s="52">
        <v>521</v>
      </c>
      <c r="Y22" s="52">
        <v>184</v>
      </c>
      <c r="Z22" s="52">
        <v>59</v>
      </c>
      <c r="AA22" s="55">
        <f t="shared" si="9"/>
        <v>2240</v>
      </c>
      <c r="AB22" s="52">
        <v>3515</v>
      </c>
      <c r="AC22" s="52">
        <v>2178</v>
      </c>
      <c r="AD22" s="52">
        <v>1051</v>
      </c>
      <c r="AE22" s="52">
        <v>381</v>
      </c>
      <c r="AF22" s="55">
        <f t="shared" si="11"/>
        <v>7125</v>
      </c>
      <c r="AG22" s="52">
        <v>2689</v>
      </c>
      <c r="AH22" s="52">
        <v>4720</v>
      </c>
      <c r="AI22" s="52">
        <v>4663</v>
      </c>
      <c r="AJ22" s="52">
        <v>4218</v>
      </c>
      <c r="AK22" s="55">
        <f t="shared" si="13"/>
        <v>16290</v>
      </c>
      <c r="AL22" s="56">
        <f t="shared" si="14"/>
        <v>0.43475572047000616</v>
      </c>
      <c r="AM22" s="56">
        <f t="shared" si="15"/>
        <v>0.29051620648259302</v>
      </c>
      <c r="AN22" s="56">
        <f t="shared" si="16"/>
        <v>0.17446879150066402</v>
      </c>
      <c r="AO22" s="56">
        <f t="shared" si="17"/>
        <v>8.0328905755850721E-2</v>
      </c>
      <c r="AP22" s="57">
        <f t="shared" si="18"/>
        <v>0.27040874416486393</v>
      </c>
      <c r="AQ22" s="56">
        <f t="shared" si="19"/>
        <v>0.33259121830550403</v>
      </c>
      <c r="AR22" s="56">
        <f t="shared" si="20"/>
        <v>0.62958516740029347</v>
      </c>
      <c r="AS22" s="56">
        <f t="shared" si="21"/>
        <v>0.774070385126162</v>
      </c>
      <c r="AT22" s="56">
        <f t="shared" si="22"/>
        <v>0.88931056293485133</v>
      </c>
      <c r="AU22" s="57">
        <f t="shared" si="23"/>
        <v>0.61823978139587843</v>
      </c>
      <c r="AV22" s="52">
        <v>4222</v>
      </c>
      <c r="AW22" s="52">
        <v>5227</v>
      </c>
      <c r="AX22" s="52">
        <v>5058</v>
      </c>
      <c r="AY22" s="52">
        <v>4313</v>
      </c>
      <c r="AZ22" s="58">
        <f t="shared" si="25"/>
        <v>18820</v>
      </c>
      <c r="BA22" s="52">
        <v>3565</v>
      </c>
      <c r="BB22" s="52">
        <v>4287</v>
      </c>
      <c r="BC22" s="52">
        <v>4363</v>
      </c>
      <c r="BD22" s="52">
        <v>4005</v>
      </c>
      <c r="BE22" s="59">
        <f t="shared" si="27"/>
        <v>16220</v>
      </c>
      <c r="BF22" s="52">
        <v>2125</v>
      </c>
      <c r="BG22" s="52">
        <v>3187</v>
      </c>
      <c r="BH22" s="52">
        <v>3666</v>
      </c>
      <c r="BI22" s="52">
        <v>3653</v>
      </c>
      <c r="BJ22" s="60">
        <f t="shared" si="29"/>
        <v>12631</v>
      </c>
      <c r="BK22" s="52">
        <v>1341</v>
      </c>
      <c r="BL22" s="52">
        <v>2173</v>
      </c>
      <c r="BM22" s="52">
        <v>2618</v>
      </c>
      <c r="BN22" s="52">
        <v>2788</v>
      </c>
      <c r="BO22" s="55">
        <f t="shared" si="31"/>
        <v>8920</v>
      </c>
      <c r="BP22" s="61"/>
      <c r="BQ22" s="62">
        <f t="shared" si="32"/>
        <v>0.52220160791589365</v>
      </c>
      <c r="BR22" s="62">
        <f t="shared" si="33"/>
        <v>0.69721221822062163</v>
      </c>
      <c r="BS22" s="62">
        <f t="shared" si="34"/>
        <v>0.83964143426294824</v>
      </c>
      <c r="BT22" s="62">
        <f t="shared" si="35"/>
        <v>0.90934008011806877</v>
      </c>
      <c r="BU22" s="63">
        <f t="shared" si="36"/>
        <v>0.71425860563968269</v>
      </c>
      <c r="BV22" s="62">
        <f t="shared" si="37"/>
        <v>0.44094001236858382</v>
      </c>
      <c r="BW22" s="62">
        <f t="shared" si="38"/>
        <v>0.57182873149259705</v>
      </c>
      <c r="BX22" s="62">
        <f t="shared" si="39"/>
        <v>0.72426958831341304</v>
      </c>
      <c r="BY22" s="62">
        <f t="shared" si="40"/>
        <v>0.84440227703984816</v>
      </c>
      <c r="BZ22" s="64">
        <f t="shared" si="41"/>
        <v>0.61558313408478504</v>
      </c>
      <c r="CA22" s="62">
        <f t="shared" si="42"/>
        <v>0.26283240568954852</v>
      </c>
      <c r="CB22" s="62">
        <f t="shared" si="43"/>
        <v>0.42510337468320664</v>
      </c>
      <c r="CC22" s="62">
        <f t="shared" si="44"/>
        <v>0.60856573705179284</v>
      </c>
      <c r="CD22" s="62">
        <f t="shared" si="45"/>
        <v>0.77018764495045333</v>
      </c>
      <c r="CE22" s="65">
        <f t="shared" si="46"/>
        <v>0.47937303123458197</v>
      </c>
      <c r="CF22" s="62">
        <f t="shared" si="47"/>
        <v>0.16586270871985156</v>
      </c>
      <c r="CG22" s="62">
        <f t="shared" si="48"/>
        <v>0.28984927304255037</v>
      </c>
      <c r="CH22" s="62">
        <f t="shared" si="49"/>
        <v>0.43459495351925631</v>
      </c>
      <c r="CI22" s="62">
        <f t="shared" si="50"/>
        <v>0.58781362007168458</v>
      </c>
      <c r="CJ22" s="66">
        <f t="shared" si="51"/>
        <v>0.33853277164218754</v>
      </c>
      <c r="CK22" s="62">
        <f t="shared" si="77"/>
        <v>0.3479591836734694</v>
      </c>
      <c r="CL22" s="62">
        <f t="shared" si="77"/>
        <v>0.49599839935974394</v>
      </c>
      <c r="CM22" s="62">
        <f t="shared" si="77"/>
        <v>0.65176792828685259</v>
      </c>
      <c r="CN22" s="62">
        <f t="shared" si="77"/>
        <v>0.77793590554501368</v>
      </c>
      <c r="CO22" s="67">
        <f t="shared" si="53"/>
        <v>0.53693688565030928</v>
      </c>
      <c r="CP22" s="48"/>
    </row>
    <row r="23" spans="1:94" ht="30.75" customHeight="1" x14ac:dyDescent="0.3">
      <c r="A23" s="49">
        <v>18</v>
      </c>
      <c r="B23" s="50" t="s">
        <v>55</v>
      </c>
      <c r="C23" s="50" t="s">
        <v>57</v>
      </c>
      <c r="D23" s="78">
        <v>45901</v>
      </c>
      <c r="E23" s="52">
        <v>201</v>
      </c>
      <c r="F23" s="52">
        <v>179</v>
      </c>
      <c r="G23" s="53">
        <f t="shared" si="1"/>
        <v>0.89054726368159209</v>
      </c>
      <c r="H23" s="52">
        <v>8105</v>
      </c>
      <c r="I23" s="52">
        <v>6558</v>
      </c>
      <c r="J23" s="52">
        <v>4533</v>
      </c>
      <c r="K23" s="52">
        <v>3227</v>
      </c>
      <c r="L23" s="54">
        <f t="shared" si="3"/>
        <v>22423</v>
      </c>
      <c r="M23" s="52">
        <v>6909</v>
      </c>
      <c r="N23" s="52">
        <v>5821</v>
      </c>
      <c r="O23" s="52">
        <v>4024</v>
      </c>
      <c r="P23" s="52">
        <v>2924</v>
      </c>
      <c r="Q23" s="54">
        <f t="shared" si="5"/>
        <v>19678</v>
      </c>
      <c r="R23" s="52">
        <v>321</v>
      </c>
      <c r="S23" s="52">
        <v>70</v>
      </c>
      <c r="T23" s="52">
        <v>9</v>
      </c>
      <c r="U23" s="52">
        <v>29</v>
      </c>
      <c r="V23" s="55">
        <f t="shared" si="7"/>
        <v>429</v>
      </c>
      <c r="W23" s="52">
        <v>944</v>
      </c>
      <c r="X23" s="52">
        <v>406</v>
      </c>
      <c r="Y23" s="52">
        <v>115</v>
      </c>
      <c r="Z23" s="52">
        <v>92</v>
      </c>
      <c r="AA23" s="55">
        <f t="shared" si="9"/>
        <v>1557</v>
      </c>
      <c r="AB23" s="52">
        <v>2861</v>
      </c>
      <c r="AC23" s="52">
        <v>1474</v>
      </c>
      <c r="AD23" s="52">
        <v>611</v>
      </c>
      <c r="AE23" s="52">
        <v>225</v>
      </c>
      <c r="AF23" s="55">
        <f t="shared" si="11"/>
        <v>5171</v>
      </c>
      <c r="AG23" s="52">
        <v>2783</v>
      </c>
      <c r="AH23" s="52">
        <v>3871</v>
      </c>
      <c r="AI23" s="52">
        <v>3289</v>
      </c>
      <c r="AJ23" s="52">
        <v>2578</v>
      </c>
      <c r="AK23" s="55">
        <f t="shared" si="13"/>
        <v>12521</v>
      </c>
      <c r="AL23" s="56">
        <f t="shared" si="14"/>
        <v>0.4140975539151831</v>
      </c>
      <c r="AM23" s="56">
        <f t="shared" si="15"/>
        <v>0.25322109603160969</v>
      </c>
      <c r="AN23" s="56">
        <f t="shared" si="16"/>
        <v>0.15183896620278331</v>
      </c>
      <c r="AO23" s="56">
        <f t="shared" si="17"/>
        <v>7.6949384404924756E-2</v>
      </c>
      <c r="AP23" s="57">
        <f t="shared" si="18"/>
        <v>0.26278077040349629</v>
      </c>
      <c r="AQ23" s="56">
        <f t="shared" si="19"/>
        <v>0.40280793168331164</v>
      </c>
      <c r="AR23" s="56">
        <f t="shared" si="20"/>
        <v>0.6650060127125923</v>
      </c>
      <c r="AS23" s="56">
        <f t="shared" si="21"/>
        <v>0.81734592445328036</v>
      </c>
      <c r="AT23" s="56">
        <f t="shared" si="22"/>
        <v>0.88166894664842677</v>
      </c>
      <c r="AU23" s="57">
        <f t="shared" si="23"/>
        <v>0.63629433885557474</v>
      </c>
      <c r="AV23" s="52">
        <v>3805</v>
      </c>
      <c r="AW23" s="52">
        <v>4085</v>
      </c>
      <c r="AX23" s="52">
        <v>3247</v>
      </c>
      <c r="AY23" s="52">
        <v>2423</v>
      </c>
      <c r="AZ23" s="58">
        <f t="shared" si="25"/>
        <v>13560</v>
      </c>
      <c r="BA23" s="52">
        <v>3111</v>
      </c>
      <c r="BB23" s="52">
        <v>3362</v>
      </c>
      <c r="BC23" s="52">
        <v>2781</v>
      </c>
      <c r="BD23" s="52">
        <v>2218</v>
      </c>
      <c r="BE23" s="59">
        <f t="shared" si="27"/>
        <v>11472</v>
      </c>
      <c r="BF23" s="52">
        <v>1855</v>
      </c>
      <c r="BG23" s="52">
        <v>2689</v>
      </c>
      <c r="BH23" s="52">
        <v>2574</v>
      </c>
      <c r="BI23" s="52">
        <v>2154</v>
      </c>
      <c r="BJ23" s="60">
        <f t="shared" si="29"/>
        <v>9272</v>
      </c>
      <c r="BK23" s="52">
        <v>1008</v>
      </c>
      <c r="BL23" s="52">
        <v>1721</v>
      </c>
      <c r="BM23" s="52">
        <v>1637</v>
      </c>
      <c r="BN23" s="52">
        <v>1572</v>
      </c>
      <c r="BO23" s="55">
        <f t="shared" si="31"/>
        <v>5938</v>
      </c>
      <c r="BP23" s="61"/>
      <c r="BQ23" s="62">
        <f t="shared" si="32"/>
        <v>0.55073093067014045</v>
      </c>
      <c r="BR23" s="62">
        <f t="shared" si="33"/>
        <v>0.70176945542003089</v>
      </c>
      <c r="BS23" s="62">
        <f t="shared" si="34"/>
        <v>0.80690854870775353</v>
      </c>
      <c r="BT23" s="62">
        <f t="shared" si="35"/>
        <v>0.82865937072503415</v>
      </c>
      <c r="BU23" s="63">
        <f t="shared" si="36"/>
        <v>0.68909442016465083</v>
      </c>
      <c r="BV23" s="62">
        <f t="shared" si="37"/>
        <v>0.4502822405557968</v>
      </c>
      <c r="BW23" s="62">
        <f t="shared" si="38"/>
        <v>0.5775639924411613</v>
      </c>
      <c r="BX23" s="62">
        <f t="shared" si="39"/>
        <v>0.69110337972167002</v>
      </c>
      <c r="BY23" s="62">
        <f t="shared" si="40"/>
        <v>0.75854993160054718</v>
      </c>
      <c r="BZ23" s="64">
        <f t="shared" si="41"/>
        <v>0.58298607582071349</v>
      </c>
      <c r="CA23" s="62">
        <f t="shared" si="42"/>
        <v>0.26849037487335359</v>
      </c>
      <c r="CB23" s="62">
        <f t="shared" si="43"/>
        <v>0.46194811887991755</v>
      </c>
      <c r="CC23" s="62">
        <f t="shared" si="44"/>
        <v>0.63966202783300197</v>
      </c>
      <c r="CD23" s="62">
        <f t="shared" si="45"/>
        <v>0.73666210670314636</v>
      </c>
      <c r="CE23" s="65">
        <f t="shared" si="46"/>
        <v>0.47118609614798251</v>
      </c>
      <c r="CF23" s="62">
        <f t="shared" si="47"/>
        <v>0.1458966565349544</v>
      </c>
      <c r="CG23" s="62">
        <f t="shared" si="48"/>
        <v>0.29565366775468133</v>
      </c>
      <c r="CH23" s="62">
        <f t="shared" si="49"/>
        <v>0.40680914512922467</v>
      </c>
      <c r="CI23" s="62">
        <f t="shared" si="50"/>
        <v>0.53761969904240769</v>
      </c>
      <c r="CJ23" s="66">
        <f t="shared" si="51"/>
        <v>0.30175830877121657</v>
      </c>
      <c r="CK23" s="62">
        <f t="shared" si="77"/>
        <v>0.35385005065856134</v>
      </c>
      <c r="CL23" s="62">
        <f t="shared" si="77"/>
        <v>0.50923380862394774</v>
      </c>
      <c r="CM23" s="62">
        <f t="shared" si="77"/>
        <v>0.63612077534791256</v>
      </c>
      <c r="CN23" s="62">
        <f t="shared" si="77"/>
        <v>0.7153727770177839</v>
      </c>
      <c r="CO23" s="67">
        <f t="shared" si="53"/>
        <v>0.51125622522614089</v>
      </c>
      <c r="CP23" s="48"/>
    </row>
    <row r="24" spans="1:94" ht="30.75" customHeight="1" x14ac:dyDescent="0.3">
      <c r="A24" s="49">
        <v>19</v>
      </c>
      <c r="B24" s="50" t="s">
        <v>55</v>
      </c>
      <c r="C24" s="50" t="s">
        <v>58</v>
      </c>
      <c r="D24" s="78">
        <v>45901</v>
      </c>
      <c r="E24" s="52">
        <v>34</v>
      </c>
      <c r="F24" s="52">
        <v>33</v>
      </c>
      <c r="G24" s="53">
        <f t="shared" si="1"/>
        <v>0.97058823529411764</v>
      </c>
      <c r="H24" s="52">
        <v>3113</v>
      </c>
      <c r="I24" s="52">
        <v>3048</v>
      </c>
      <c r="J24" s="52">
        <v>2740</v>
      </c>
      <c r="K24" s="52">
        <v>2321</v>
      </c>
      <c r="L24" s="54">
        <f t="shared" si="3"/>
        <v>11222</v>
      </c>
      <c r="M24" s="52">
        <v>3113</v>
      </c>
      <c r="N24" s="52">
        <v>3048</v>
      </c>
      <c r="O24" s="52">
        <v>2740</v>
      </c>
      <c r="P24" s="52">
        <v>2321</v>
      </c>
      <c r="Q24" s="54">
        <f t="shared" si="5"/>
        <v>11222</v>
      </c>
      <c r="R24" s="52">
        <v>251</v>
      </c>
      <c r="S24" s="52">
        <v>27</v>
      </c>
      <c r="T24" s="52">
        <v>8</v>
      </c>
      <c r="U24" s="52">
        <v>0</v>
      </c>
      <c r="V24" s="55">
        <f t="shared" si="7"/>
        <v>286</v>
      </c>
      <c r="W24" s="52">
        <v>506</v>
      </c>
      <c r="X24" s="52">
        <v>188</v>
      </c>
      <c r="Y24" s="52">
        <v>47</v>
      </c>
      <c r="Z24" s="52">
        <v>8</v>
      </c>
      <c r="AA24" s="55">
        <f t="shared" si="9"/>
        <v>749</v>
      </c>
      <c r="AB24" s="52">
        <v>1430</v>
      </c>
      <c r="AC24" s="52">
        <v>850</v>
      </c>
      <c r="AD24" s="52">
        <v>398</v>
      </c>
      <c r="AE24" s="52">
        <v>112</v>
      </c>
      <c r="AF24" s="55">
        <f t="shared" si="11"/>
        <v>2790</v>
      </c>
      <c r="AG24" s="52">
        <v>926</v>
      </c>
      <c r="AH24" s="52">
        <v>1983</v>
      </c>
      <c r="AI24" s="52">
        <v>2287</v>
      </c>
      <c r="AJ24" s="52">
        <v>2201</v>
      </c>
      <c r="AK24" s="55">
        <f t="shared" si="13"/>
        <v>7397</v>
      </c>
      <c r="AL24" s="56">
        <f t="shared" si="14"/>
        <v>0.45936395759717313</v>
      </c>
      <c r="AM24" s="56">
        <f t="shared" si="15"/>
        <v>0.27887139107611547</v>
      </c>
      <c r="AN24" s="56">
        <f t="shared" si="16"/>
        <v>0.14525547445255474</v>
      </c>
      <c r="AO24" s="56">
        <f t="shared" si="17"/>
        <v>4.8255062473071951E-2</v>
      </c>
      <c r="AP24" s="57">
        <f t="shared" si="18"/>
        <v>0.24861878453038674</v>
      </c>
      <c r="AQ24" s="56">
        <f t="shared" si="19"/>
        <v>0.29746225505942819</v>
      </c>
      <c r="AR24" s="56">
        <f t="shared" si="20"/>
        <v>0.65059055118110232</v>
      </c>
      <c r="AS24" s="56">
        <f t="shared" si="21"/>
        <v>0.83467153284671536</v>
      </c>
      <c r="AT24" s="56">
        <f t="shared" si="22"/>
        <v>0.94829814735028006</v>
      </c>
      <c r="AU24" s="57">
        <f t="shared" si="23"/>
        <v>0.65915166636963107</v>
      </c>
      <c r="AV24" s="52">
        <v>1661</v>
      </c>
      <c r="AW24" s="52">
        <v>2159</v>
      </c>
      <c r="AX24" s="52">
        <v>2267</v>
      </c>
      <c r="AY24" s="52">
        <v>2135</v>
      </c>
      <c r="AZ24" s="58">
        <f t="shared" si="25"/>
        <v>8222</v>
      </c>
      <c r="BA24" s="52">
        <v>1376</v>
      </c>
      <c r="BB24" s="52">
        <v>1737</v>
      </c>
      <c r="BC24" s="52">
        <v>1951</v>
      </c>
      <c r="BD24" s="52">
        <v>1976</v>
      </c>
      <c r="BE24" s="59">
        <f t="shared" si="27"/>
        <v>7040</v>
      </c>
      <c r="BF24" s="52">
        <v>664</v>
      </c>
      <c r="BG24" s="52">
        <v>1106</v>
      </c>
      <c r="BH24" s="52">
        <v>1582</v>
      </c>
      <c r="BI24" s="52">
        <v>1762</v>
      </c>
      <c r="BJ24" s="60">
        <f t="shared" si="29"/>
        <v>5114</v>
      </c>
      <c r="BK24" s="52">
        <v>407</v>
      </c>
      <c r="BL24" s="52">
        <v>855</v>
      </c>
      <c r="BM24" s="52">
        <v>1162</v>
      </c>
      <c r="BN24" s="52">
        <v>1438</v>
      </c>
      <c r="BO24" s="55">
        <f t="shared" si="31"/>
        <v>3862</v>
      </c>
      <c r="BP24" s="61"/>
      <c r="BQ24" s="62">
        <f t="shared" si="32"/>
        <v>0.53356890459363959</v>
      </c>
      <c r="BR24" s="62">
        <f t="shared" si="33"/>
        <v>0.70833333333333337</v>
      </c>
      <c r="BS24" s="62">
        <f t="shared" si="34"/>
        <v>0.82737226277372267</v>
      </c>
      <c r="BT24" s="62">
        <f t="shared" si="35"/>
        <v>0.91986212839293413</v>
      </c>
      <c r="BU24" s="63">
        <f t="shared" si="36"/>
        <v>0.7326679736232401</v>
      </c>
      <c r="BV24" s="62">
        <f t="shared" si="37"/>
        <v>0.44201734661098618</v>
      </c>
      <c r="BW24" s="62">
        <f t="shared" si="38"/>
        <v>0.56988188976377951</v>
      </c>
      <c r="BX24" s="62">
        <f t="shared" si="39"/>
        <v>0.71204379562043796</v>
      </c>
      <c r="BY24" s="62">
        <f t="shared" si="40"/>
        <v>0.8513571736320551</v>
      </c>
      <c r="BZ24" s="64">
        <f t="shared" si="41"/>
        <v>0.62733915523079664</v>
      </c>
      <c r="CA24" s="62">
        <f t="shared" si="42"/>
        <v>0.21329906842274332</v>
      </c>
      <c r="CB24" s="62">
        <f t="shared" si="43"/>
        <v>0.36286089238845143</v>
      </c>
      <c r="CC24" s="62">
        <f t="shared" si="44"/>
        <v>0.57737226277372267</v>
      </c>
      <c r="CD24" s="62">
        <f t="shared" si="45"/>
        <v>0.75915553640672129</v>
      </c>
      <c r="CE24" s="65">
        <f t="shared" si="46"/>
        <v>0.45571199429691678</v>
      </c>
      <c r="CF24" s="62">
        <f t="shared" si="47"/>
        <v>0.13074204946996468</v>
      </c>
      <c r="CG24" s="62">
        <f t="shared" si="48"/>
        <v>0.28051181102362205</v>
      </c>
      <c r="CH24" s="62">
        <f t="shared" si="49"/>
        <v>0.42408759124087592</v>
      </c>
      <c r="CI24" s="62">
        <f t="shared" si="50"/>
        <v>0.61956053425247737</v>
      </c>
      <c r="CJ24" s="66">
        <f t="shared" si="51"/>
        <v>0.34414542862234898</v>
      </c>
      <c r="CK24" s="62">
        <f t="shared" si="77"/>
        <v>0.32990684227433348</v>
      </c>
      <c r="CL24" s="62">
        <f t="shared" si="77"/>
        <v>0.48039698162729655</v>
      </c>
      <c r="CM24" s="62">
        <f t="shared" si="77"/>
        <v>0.63521897810218986</v>
      </c>
      <c r="CN24" s="62">
        <f t="shared" si="77"/>
        <v>0.78748384317104703</v>
      </c>
      <c r="CO24" s="67">
        <f t="shared" si="53"/>
        <v>0.5399661379433256</v>
      </c>
      <c r="CP24" s="48"/>
    </row>
    <row r="25" spans="1:94" ht="30.75" customHeight="1" x14ac:dyDescent="0.3">
      <c r="A25" s="49">
        <v>20</v>
      </c>
      <c r="B25" s="50" t="s">
        <v>55</v>
      </c>
      <c r="C25" s="50" t="s">
        <v>59</v>
      </c>
      <c r="D25" s="78">
        <v>45901</v>
      </c>
      <c r="E25" s="52">
        <v>129</v>
      </c>
      <c r="F25" s="52">
        <v>122</v>
      </c>
      <c r="G25" s="53">
        <f t="shared" si="1"/>
        <v>0.94573643410852715</v>
      </c>
      <c r="H25" s="52">
        <v>5301</v>
      </c>
      <c r="I25" s="52">
        <v>4209</v>
      </c>
      <c r="J25" s="52">
        <v>2510</v>
      </c>
      <c r="K25" s="52">
        <v>1702</v>
      </c>
      <c r="L25" s="54">
        <f t="shared" si="3"/>
        <v>13722</v>
      </c>
      <c r="M25" s="52">
        <v>4691</v>
      </c>
      <c r="N25" s="52">
        <v>3883</v>
      </c>
      <c r="O25" s="52">
        <v>2298</v>
      </c>
      <c r="P25" s="52">
        <v>1628</v>
      </c>
      <c r="Q25" s="54">
        <f t="shared" si="5"/>
        <v>12500</v>
      </c>
      <c r="R25" s="52">
        <v>126</v>
      </c>
      <c r="S25" s="52">
        <v>4</v>
      </c>
      <c r="T25" s="52">
        <v>0</v>
      </c>
      <c r="U25" s="52">
        <v>0</v>
      </c>
      <c r="V25" s="55">
        <f t="shared" si="7"/>
        <v>130</v>
      </c>
      <c r="W25" s="52">
        <v>504</v>
      </c>
      <c r="X25" s="52">
        <v>89</v>
      </c>
      <c r="Y25" s="52">
        <v>7</v>
      </c>
      <c r="Z25" s="52">
        <v>3</v>
      </c>
      <c r="AA25" s="55">
        <f t="shared" si="9"/>
        <v>603</v>
      </c>
      <c r="AB25" s="52">
        <v>1521</v>
      </c>
      <c r="AC25" s="52">
        <v>691</v>
      </c>
      <c r="AD25" s="52">
        <v>199</v>
      </c>
      <c r="AE25" s="52">
        <v>53</v>
      </c>
      <c r="AF25" s="55">
        <f t="shared" si="11"/>
        <v>2464</v>
      </c>
      <c r="AG25" s="52">
        <v>2540</v>
      </c>
      <c r="AH25" s="52">
        <v>3099</v>
      </c>
      <c r="AI25" s="52">
        <v>2092</v>
      </c>
      <c r="AJ25" s="52">
        <v>1572</v>
      </c>
      <c r="AK25" s="55">
        <f t="shared" si="13"/>
        <v>9303</v>
      </c>
      <c r="AL25" s="56">
        <f t="shared" si="14"/>
        <v>0.32423790236623323</v>
      </c>
      <c r="AM25" s="56">
        <f t="shared" si="15"/>
        <v>0.17795518928663404</v>
      </c>
      <c r="AN25" s="56">
        <f t="shared" si="16"/>
        <v>8.6597040905134898E-2</v>
      </c>
      <c r="AO25" s="56">
        <f t="shared" si="17"/>
        <v>3.2555282555282554E-2</v>
      </c>
      <c r="AP25" s="57">
        <f t="shared" si="18"/>
        <v>0.19711999999999999</v>
      </c>
      <c r="AQ25" s="56">
        <f t="shared" si="19"/>
        <v>0.54146237476017911</v>
      </c>
      <c r="AR25" s="56">
        <f t="shared" si="20"/>
        <v>0.79809425701776981</v>
      </c>
      <c r="AS25" s="56">
        <f t="shared" si="21"/>
        <v>0.91035683202785034</v>
      </c>
      <c r="AT25" s="56">
        <f t="shared" si="22"/>
        <v>0.96560196560196565</v>
      </c>
      <c r="AU25" s="57">
        <f t="shared" si="23"/>
        <v>0.74424000000000001</v>
      </c>
      <c r="AV25" s="52">
        <v>2544</v>
      </c>
      <c r="AW25" s="52">
        <v>2651</v>
      </c>
      <c r="AX25" s="52">
        <v>1917</v>
      </c>
      <c r="AY25" s="52">
        <v>1467</v>
      </c>
      <c r="AZ25" s="58">
        <f t="shared" si="25"/>
        <v>8579</v>
      </c>
      <c r="BA25" s="52">
        <v>2157</v>
      </c>
      <c r="BB25" s="52">
        <v>2395</v>
      </c>
      <c r="BC25" s="52">
        <v>1713</v>
      </c>
      <c r="BD25" s="52">
        <v>1416</v>
      </c>
      <c r="BE25" s="59">
        <f t="shared" si="27"/>
        <v>7681</v>
      </c>
      <c r="BF25" s="52">
        <v>1410</v>
      </c>
      <c r="BG25" s="52">
        <v>1890</v>
      </c>
      <c r="BH25" s="52">
        <v>1507</v>
      </c>
      <c r="BI25" s="52">
        <v>1198</v>
      </c>
      <c r="BJ25" s="60">
        <f t="shared" si="29"/>
        <v>6005</v>
      </c>
      <c r="BK25" s="52">
        <v>922</v>
      </c>
      <c r="BL25" s="52">
        <v>1312</v>
      </c>
      <c r="BM25" s="52">
        <v>1252</v>
      </c>
      <c r="BN25" s="52">
        <v>1010</v>
      </c>
      <c r="BO25" s="55">
        <f t="shared" si="31"/>
        <v>4496</v>
      </c>
      <c r="BP25" s="61"/>
      <c r="BQ25" s="62">
        <f t="shared" si="32"/>
        <v>0.54231507141334467</v>
      </c>
      <c r="BR25" s="62">
        <f t="shared" si="33"/>
        <v>0.68271954674220958</v>
      </c>
      <c r="BS25" s="62">
        <f t="shared" si="34"/>
        <v>0.83420365535248042</v>
      </c>
      <c r="BT25" s="62">
        <f t="shared" si="35"/>
        <v>0.90110565110565111</v>
      </c>
      <c r="BU25" s="63">
        <f t="shared" si="36"/>
        <v>0.68632000000000004</v>
      </c>
      <c r="BV25" s="62">
        <f t="shared" si="37"/>
        <v>0.4598166702195694</v>
      </c>
      <c r="BW25" s="62">
        <f t="shared" si="38"/>
        <v>0.61679114087046094</v>
      </c>
      <c r="BX25" s="62">
        <f t="shared" si="39"/>
        <v>0.74543080939947781</v>
      </c>
      <c r="BY25" s="62">
        <f t="shared" si="40"/>
        <v>0.86977886977886976</v>
      </c>
      <c r="BZ25" s="64">
        <f t="shared" si="41"/>
        <v>0.61448000000000003</v>
      </c>
      <c r="CA25" s="62">
        <f t="shared" si="42"/>
        <v>0.30057557024088682</v>
      </c>
      <c r="CB25" s="62">
        <f t="shared" si="43"/>
        <v>0.48673705897501929</v>
      </c>
      <c r="CC25" s="62">
        <f t="shared" si="44"/>
        <v>0.65578764142732815</v>
      </c>
      <c r="CD25" s="62">
        <f t="shared" si="45"/>
        <v>0.73587223587223582</v>
      </c>
      <c r="CE25" s="65">
        <f t="shared" si="46"/>
        <v>0.48039999999999999</v>
      </c>
      <c r="CF25" s="62">
        <f t="shared" si="47"/>
        <v>0.19654657855467916</v>
      </c>
      <c r="CG25" s="62">
        <f t="shared" si="48"/>
        <v>0.33788308009271184</v>
      </c>
      <c r="CH25" s="62">
        <f t="shared" si="49"/>
        <v>0.54482158398607483</v>
      </c>
      <c r="CI25" s="62">
        <f t="shared" si="50"/>
        <v>0.62039312039312045</v>
      </c>
      <c r="CJ25" s="66">
        <f t="shared" si="51"/>
        <v>0.35968</v>
      </c>
      <c r="CK25" s="62">
        <f t="shared" si="77"/>
        <v>0.37481347260712</v>
      </c>
      <c r="CL25" s="62">
        <f t="shared" si="77"/>
        <v>0.53103270667010039</v>
      </c>
      <c r="CM25" s="62">
        <f t="shared" si="77"/>
        <v>0.69506092254134033</v>
      </c>
      <c r="CN25" s="62">
        <f t="shared" si="77"/>
        <v>0.78178746928746934</v>
      </c>
      <c r="CO25" s="67">
        <f t="shared" si="53"/>
        <v>0.53522000000000003</v>
      </c>
      <c r="CP25" s="48"/>
    </row>
    <row r="26" spans="1:94" ht="30.75" customHeight="1" x14ac:dyDescent="0.3">
      <c r="A26" s="49">
        <v>21</v>
      </c>
      <c r="B26" s="50" t="s">
        <v>55</v>
      </c>
      <c r="C26" s="50" t="s">
        <v>60</v>
      </c>
      <c r="D26" s="78">
        <v>45901</v>
      </c>
      <c r="E26" s="52">
        <v>126</v>
      </c>
      <c r="F26" s="52">
        <v>122</v>
      </c>
      <c r="G26" s="53">
        <f t="shared" si="1"/>
        <v>0.96825396825396826</v>
      </c>
      <c r="H26" s="52">
        <v>5794</v>
      </c>
      <c r="I26" s="52">
        <v>4789</v>
      </c>
      <c r="J26" s="52">
        <v>3840</v>
      </c>
      <c r="K26" s="52">
        <v>3043</v>
      </c>
      <c r="L26" s="54">
        <f t="shared" si="3"/>
        <v>17466</v>
      </c>
      <c r="M26" s="52">
        <v>5514</v>
      </c>
      <c r="N26" s="52">
        <v>4634</v>
      </c>
      <c r="O26" s="52">
        <v>3722</v>
      </c>
      <c r="P26" s="52">
        <v>2960</v>
      </c>
      <c r="Q26" s="54">
        <f t="shared" si="5"/>
        <v>16830</v>
      </c>
      <c r="R26" s="52">
        <v>820</v>
      </c>
      <c r="S26" s="52">
        <v>526</v>
      </c>
      <c r="T26" s="52">
        <v>33</v>
      </c>
      <c r="U26" s="52">
        <v>0</v>
      </c>
      <c r="V26" s="55">
        <f t="shared" si="7"/>
        <v>1379</v>
      </c>
      <c r="W26" s="52">
        <v>1355</v>
      </c>
      <c r="X26" s="52">
        <v>644</v>
      </c>
      <c r="Y26" s="52">
        <v>595</v>
      </c>
      <c r="Z26" s="52">
        <v>11</v>
      </c>
      <c r="AA26" s="55">
        <f t="shared" si="9"/>
        <v>2605</v>
      </c>
      <c r="AB26" s="52">
        <v>1929</v>
      </c>
      <c r="AC26" s="52">
        <v>1518</v>
      </c>
      <c r="AD26" s="52">
        <v>1202</v>
      </c>
      <c r="AE26" s="52">
        <v>1209</v>
      </c>
      <c r="AF26" s="55">
        <f t="shared" si="11"/>
        <v>5858</v>
      </c>
      <c r="AG26" s="52">
        <v>1410</v>
      </c>
      <c r="AH26" s="52">
        <v>1946</v>
      </c>
      <c r="AI26" s="52">
        <v>1892</v>
      </c>
      <c r="AJ26" s="52">
        <v>1740</v>
      </c>
      <c r="AK26" s="55">
        <f t="shared" si="13"/>
        <v>6988</v>
      </c>
      <c r="AL26" s="56">
        <f t="shared" si="14"/>
        <v>0.34983677910772581</v>
      </c>
      <c r="AM26" s="56">
        <f t="shared" si="15"/>
        <v>0.32757876564523092</v>
      </c>
      <c r="AN26" s="56">
        <f t="shared" si="16"/>
        <v>0.32294465341214401</v>
      </c>
      <c r="AO26" s="56">
        <f t="shared" si="17"/>
        <v>0.40844594594594597</v>
      </c>
      <c r="AP26" s="57">
        <f t="shared" si="18"/>
        <v>0.34806892453951277</v>
      </c>
      <c r="AQ26" s="56">
        <f t="shared" si="19"/>
        <v>0.25571273122959737</v>
      </c>
      <c r="AR26" s="56">
        <f t="shared" si="20"/>
        <v>0.41993957703927492</v>
      </c>
      <c r="AS26" s="56">
        <f t="shared" si="21"/>
        <v>0.50832885545405693</v>
      </c>
      <c r="AT26" s="56">
        <f t="shared" si="22"/>
        <v>0.58783783783783783</v>
      </c>
      <c r="AU26" s="57">
        <f t="shared" si="23"/>
        <v>0.41521093285799165</v>
      </c>
      <c r="AV26" s="52">
        <v>2761</v>
      </c>
      <c r="AW26" s="52">
        <v>2581</v>
      </c>
      <c r="AX26" s="52">
        <v>2380</v>
      </c>
      <c r="AY26" s="52">
        <v>2051</v>
      </c>
      <c r="AZ26" s="58">
        <f t="shared" si="25"/>
        <v>9773</v>
      </c>
      <c r="BA26" s="52">
        <v>2247</v>
      </c>
      <c r="BB26" s="52">
        <v>2063</v>
      </c>
      <c r="BC26" s="52">
        <v>2098</v>
      </c>
      <c r="BD26" s="52">
        <v>1860</v>
      </c>
      <c r="BE26" s="59">
        <f t="shared" si="27"/>
        <v>8268</v>
      </c>
      <c r="BF26" s="52">
        <v>1256</v>
      </c>
      <c r="BG26" s="52">
        <v>1795</v>
      </c>
      <c r="BH26" s="52">
        <v>2013</v>
      </c>
      <c r="BI26" s="52">
        <v>1811</v>
      </c>
      <c r="BJ26" s="60">
        <f t="shared" si="29"/>
        <v>6875</v>
      </c>
      <c r="BK26" s="52">
        <v>0</v>
      </c>
      <c r="BL26" s="52">
        <v>788</v>
      </c>
      <c r="BM26" s="52">
        <v>1157</v>
      </c>
      <c r="BN26" s="52">
        <v>1345</v>
      </c>
      <c r="BO26" s="55">
        <f t="shared" si="31"/>
        <v>3290</v>
      </c>
      <c r="BP26" s="61"/>
      <c r="BQ26" s="62">
        <f t="shared" si="32"/>
        <v>0.5007254261878854</v>
      </c>
      <c r="BR26" s="62">
        <f t="shared" si="33"/>
        <v>0.55697022011221409</v>
      </c>
      <c r="BS26" s="62">
        <f t="shared" si="34"/>
        <v>0.63944116066630841</v>
      </c>
      <c r="BT26" s="62">
        <f t="shared" si="35"/>
        <v>0.69290540540540535</v>
      </c>
      <c r="BU26" s="63">
        <f t="shared" si="36"/>
        <v>0.58068924539512778</v>
      </c>
      <c r="BV26" s="62">
        <f t="shared" si="37"/>
        <v>0.40750816104461374</v>
      </c>
      <c r="BW26" s="62">
        <f t="shared" si="38"/>
        <v>0.44518774277082435</v>
      </c>
      <c r="BX26" s="62">
        <f t="shared" si="39"/>
        <v>0.56367544331004837</v>
      </c>
      <c r="BY26" s="62">
        <f t="shared" si="40"/>
        <v>0.6283783783783784</v>
      </c>
      <c r="BZ26" s="64">
        <f t="shared" si="41"/>
        <v>0.49126559714795009</v>
      </c>
      <c r="CA26" s="62">
        <f t="shared" si="42"/>
        <v>0.22778382299601016</v>
      </c>
      <c r="CB26" s="62">
        <f t="shared" si="43"/>
        <v>0.38735433750539489</v>
      </c>
      <c r="CC26" s="62">
        <f t="shared" si="44"/>
        <v>0.54083825900053739</v>
      </c>
      <c r="CD26" s="62">
        <f t="shared" si="45"/>
        <v>0.61182432432432432</v>
      </c>
      <c r="CE26" s="65">
        <f t="shared" si="46"/>
        <v>0.40849673202614378</v>
      </c>
      <c r="CF26" s="62">
        <f t="shared" si="47"/>
        <v>0</v>
      </c>
      <c r="CG26" s="62">
        <f t="shared" si="48"/>
        <v>0.17004747518342683</v>
      </c>
      <c r="CH26" s="62">
        <f t="shared" si="49"/>
        <v>0.3108543793659323</v>
      </c>
      <c r="CI26" s="62">
        <f t="shared" si="50"/>
        <v>0.45439189189189189</v>
      </c>
      <c r="CJ26" s="66">
        <f t="shared" si="51"/>
        <v>0.19548425430778371</v>
      </c>
      <c r="CK26" s="62">
        <f t="shared" si="77"/>
        <v>0.2840043525571273</v>
      </c>
      <c r="CL26" s="62">
        <f t="shared" si="77"/>
        <v>0.38988994389296505</v>
      </c>
      <c r="CM26" s="62">
        <f t="shared" si="77"/>
        <v>0.51370231058570659</v>
      </c>
      <c r="CN26" s="62">
        <f t="shared" si="77"/>
        <v>0.59687500000000004</v>
      </c>
      <c r="CO26" s="67">
        <f t="shared" si="53"/>
        <v>0.41898395721925136</v>
      </c>
      <c r="CP26" s="48"/>
    </row>
    <row r="27" spans="1:94" ht="30.75" customHeight="1" x14ac:dyDescent="0.3">
      <c r="A27" s="49">
        <v>22</v>
      </c>
      <c r="B27" s="50" t="s">
        <v>55</v>
      </c>
      <c r="C27" s="50" t="s">
        <v>61</v>
      </c>
      <c r="D27" s="78">
        <v>45901</v>
      </c>
      <c r="E27" s="52">
        <v>125</v>
      </c>
      <c r="F27" s="52">
        <v>91</v>
      </c>
      <c r="G27" s="53">
        <f t="shared" si="1"/>
        <v>0.72799999999999998</v>
      </c>
      <c r="H27" s="52">
        <v>4788</v>
      </c>
      <c r="I27" s="52">
        <v>4436</v>
      </c>
      <c r="J27" s="52">
        <v>3542</v>
      </c>
      <c r="K27" s="52">
        <v>2685</v>
      </c>
      <c r="L27" s="54">
        <f t="shared" si="3"/>
        <v>15451</v>
      </c>
      <c r="M27" s="52">
        <v>4300</v>
      </c>
      <c r="N27" s="52">
        <v>4085</v>
      </c>
      <c r="O27" s="52">
        <v>3280</v>
      </c>
      <c r="P27" s="52">
        <v>2585</v>
      </c>
      <c r="Q27" s="54">
        <f t="shared" si="5"/>
        <v>14250</v>
      </c>
      <c r="R27" s="52">
        <v>311</v>
      </c>
      <c r="S27" s="52">
        <v>55</v>
      </c>
      <c r="T27" s="52">
        <v>13</v>
      </c>
      <c r="U27" s="52">
        <v>16</v>
      </c>
      <c r="V27" s="55">
        <f t="shared" si="7"/>
        <v>395</v>
      </c>
      <c r="W27" s="52">
        <v>667</v>
      </c>
      <c r="X27" s="52">
        <v>189</v>
      </c>
      <c r="Y27" s="52">
        <v>40</v>
      </c>
      <c r="Z27" s="52">
        <v>9</v>
      </c>
      <c r="AA27" s="55">
        <f t="shared" si="9"/>
        <v>905</v>
      </c>
      <c r="AB27" s="52">
        <v>1429</v>
      </c>
      <c r="AC27" s="52">
        <v>932</v>
      </c>
      <c r="AD27" s="52">
        <v>419</v>
      </c>
      <c r="AE27" s="52">
        <v>92</v>
      </c>
      <c r="AF27" s="55">
        <f t="shared" si="11"/>
        <v>2872</v>
      </c>
      <c r="AG27" s="52">
        <v>1893</v>
      </c>
      <c r="AH27" s="52">
        <v>2909</v>
      </c>
      <c r="AI27" s="52">
        <v>2808</v>
      </c>
      <c r="AJ27" s="52">
        <v>2468</v>
      </c>
      <c r="AK27" s="55">
        <f t="shared" si="13"/>
        <v>10078</v>
      </c>
      <c r="AL27" s="56">
        <f t="shared" si="14"/>
        <v>0.33232558139534885</v>
      </c>
      <c r="AM27" s="56">
        <f t="shared" si="15"/>
        <v>0.2281517747858017</v>
      </c>
      <c r="AN27" s="56">
        <f t="shared" si="16"/>
        <v>0.12774390243902439</v>
      </c>
      <c r="AO27" s="56">
        <f t="shared" si="17"/>
        <v>3.5589941972920695E-2</v>
      </c>
      <c r="AP27" s="57">
        <f t="shared" si="18"/>
        <v>0.2015438596491228</v>
      </c>
      <c r="AQ27" s="56">
        <f t="shared" si="19"/>
        <v>0.44023255813953488</v>
      </c>
      <c r="AR27" s="56">
        <f t="shared" si="20"/>
        <v>0.71211750305997557</v>
      </c>
      <c r="AS27" s="56">
        <f t="shared" si="21"/>
        <v>0.85609756097560974</v>
      </c>
      <c r="AT27" s="56">
        <f t="shared" si="22"/>
        <v>0.95473887814313341</v>
      </c>
      <c r="AU27" s="57">
        <f t="shared" si="23"/>
        <v>0.70722807017543865</v>
      </c>
      <c r="AV27" s="52">
        <v>2506</v>
      </c>
      <c r="AW27" s="52">
        <v>2993</v>
      </c>
      <c r="AX27" s="52">
        <v>2732</v>
      </c>
      <c r="AY27" s="52">
        <v>2273</v>
      </c>
      <c r="AZ27" s="58">
        <f t="shared" si="25"/>
        <v>10504</v>
      </c>
      <c r="BA27" s="52">
        <v>2119</v>
      </c>
      <c r="BB27" s="52">
        <v>2534</v>
      </c>
      <c r="BC27" s="52">
        <v>2465</v>
      </c>
      <c r="BD27" s="52">
        <v>2157</v>
      </c>
      <c r="BE27" s="59">
        <f t="shared" si="27"/>
        <v>9275</v>
      </c>
      <c r="BF27" s="52">
        <v>1231</v>
      </c>
      <c r="BG27" s="52">
        <v>1799</v>
      </c>
      <c r="BH27" s="52">
        <v>1881</v>
      </c>
      <c r="BI27" s="52">
        <v>1908</v>
      </c>
      <c r="BJ27" s="60">
        <f t="shared" si="29"/>
        <v>6819</v>
      </c>
      <c r="BK27" s="52">
        <v>766</v>
      </c>
      <c r="BL27" s="52">
        <v>1263</v>
      </c>
      <c r="BM27" s="52">
        <v>1384</v>
      </c>
      <c r="BN27" s="52">
        <v>1507</v>
      </c>
      <c r="BO27" s="55">
        <f t="shared" si="31"/>
        <v>4920</v>
      </c>
      <c r="BP27" s="61"/>
      <c r="BQ27" s="62">
        <f t="shared" si="32"/>
        <v>0.5827906976744186</v>
      </c>
      <c r="BR27" s="62">
        <f t="shared" si="33"/>
        <v>0.7326805385556916</v>
      </c>
      <c r="BS27" s="62">
        <f t="shared" si="34"/>
        <v>0.83292682926829265</v>
      </c>
      <c r="BT27" s="62">
        <f t="shared" si="35"/>
        <v>0.87930367504835594</v>
      </c>
      <c r="BU27" s="63">
        <f t="shared" si="36"/>
        <v>0.73712280701754385</v>
      </c>
      <c r="BV27" s="62">
        <f t="shared" si="37"/>
        <v>0.49279069767441863</v>
      </c>
      <c r="BW27" s="62">
        <f t="shared" si="38"/>
        <v>0.62031823745410042</v>
      </c>
      <c r="BX27" s="62">
        <f t="shared" si="39"/>
        <v>0.75152439024390238</v>
      </c>
      <c r="BY27" s="62">
        <f t="shared" si="40"/>
        <v>0.83442940038684721</v>
      </c>
      <c r="BZ27" s="64">
        <f t="shared" si="41"/>
        <v>0.65087719298245617</v>
      </c>
      <c r="CA27" s="62">
        <f t="shared" si="42"/>
        <v>0.28627906976744188</v>
      </c>
      <c r="CB27" s="62">
        <f t="shared" si="43"/>
        <v>0.44039167686658509</v>
      </c>
      <c r="CC27" s="62">
        <f t="shared" si="44"/>
        <v>0.57347560975609757</v>
      </c>
      <c r="CD27" s="62">
        <f t="shared" si="45"/>
        <v>0.73810444874274661</v>
      </c>
      <c r="CE27" s="65">
        <f t="shared" si="46"/>
        <v>0.47852631578947369</v>
      </c>
      <c r="CF27" s="62">
        <f t="shared" si="47"/>
        <v>0.17813953488372092</v>
      </c>
      <c r="CG27" s="62">
        <f t="shared" si="48"/>
        <v>0.30917992656058751</v>
      </c>
      <c r="CH27" s="62">
        <f t="shared" si="49"/>
        <v>0.42195121951219511</v>
      </c>
      <c r="CI27" s="62">
        <f t="shared" si="50"/>
        <v>0.58297872340425527</v>
      </c>
      <c r="CJ27" s="66">
        <f t="shared" si="51"/>
        <v>0.34526315789473683</v>
      </c>
      <c r="CK27" s="62">
        <f t="shared" si="77"/>
        <v>0.38500000000000006</v>
      </c>
      <c r="CL27" s="62">
        <f t="shared" si="77"/>
        <v>0.52564259485924114</v>
      </c>
      <c r="CM27" s="62">
        <f t="shared" si="77"/>
        <v>0.644969512195122</v>
      </c>
      <c r="CN27" s="62">
        <f t="shared" si="77"/>
        <v>0.75870406189555128</v>
      </c>
      <c r="CO27" s="67">
        <f t="shared" si="53"/>
        <v>0.55294736842105263</v>
      </c>
      <c r="CP27" s="48"/>
    </row>
    <row r="28" spans="1:94" ht="30.75" customHeight="1" x14ac:dyDescent="0.3">
      <c r="A28" s="49">
        <v>23</v>
      </c>
      <c r="B28" s="50" t="s">
        <v>55</v>
      </c>
      <c r="C28" s="50" t="s">
        <v>62</v>
      </c>
      <c r="D28" s="78">
        <v>45901</v>
      </c>
      <c r="E28" s="52">
        <v>204</v>
      </c>
      <c r="F28" s="52">
        <v>204</v>
      </c>
      <c r="G28" s="53">
        <f t="shared" si="1"/>
        <v>1</v>
      </c>
      <c r="H28" s="52">
        <v>6953</v>
      </c>
      <c r="I28" s="52">
        <v>6385</v>
      </c>
      <c r="J28" s="52">
        <v>5165</v>
      </c>
      <c r="K28" s="52">
        <v>3951</v>
      </c>
      <c r="L28" s="54">
        <f t="shared" si="3"/>
        <v>22454</v>
      </c>
      <c r="M28" s="52">
        <v>6402</v>
      </c>
      <c r="N28" s="52">
        <v>5920</v>
      </c>
      <c r="O28" s="52">
        <v>4818</v>
      </c>
      <c r="P28" s="52">
        <v>3707</v>
      </c>
      <c r="Q28" s="54">
        <f t="shared" si="5"/>
        <v>20847</v>
      </c>
      <c r="R28" s="52">
        <v>486</v>
      </c>
      <c r="S28" s="52">
        <v>83</v>
      </c>
      <c r="T28" s="52">
        <v>12</v>
      </c>
      <c r="U28" s="52">
        <v>0</v>
      </c>
      <c r="V28" s="55">
        <f t="shared" si="7"/>
        <v>581</v>
      </c>
      <c r="W28" s="52">
        <v>1512</v>
      </c>
      <c r="X28" s="52">
        <v>342</v>
      </c>
      <c r="Y28" s="52">
        <v>111</v>
      </c>
      <c r="Z28" s="52">
        <v>10</v>
      </c>
      <c r="AA28" s="55">
        <f t="shared" si="9"/>
        <v>1975</v>
      </c>
      <c r="AB28" s="52">
        <v>3028</v>
      </c>
      <c r="AC28" s="52">
        <v>1693</v>
      </c>
      <c r="AD28" s="52">
        <v>690</v>
      </c>
      <c r="AE28" s="52">
        <v>245</v>
      </c>
      <c r="AF28" s="55">
        <f t="shared" si="11"/>
        <v>5656</v>
      </c>
      <c r="AG28" s="52">
        <v>1381</v>
      </c>
      <c r="AH28" s="52">
        <v>3802</v>
      </c>
      <c r="AI28" s="52">
        <v>4005</v>
      </c>
      <c r="AJ28" s="52">
        <v>3482</v>
      </c>
      <c r="AK28" s="55">
        <f t="shared" si="13"/>
        <v>12670</v>
      </c>
      <c r="AL28" s="56">
        <f t="shared" si="14"/>
        <v>0.47297719462667914</v>
      </c>
      <c r="AM28" s="56">
        <f t="shared" si="15"/>
        <v>0.28597972972972974</v>
      </c>
      <c r="AN28" s="56">
        <f t="shared" si="16"/>
        <v>0.1432129514321295</v>
      </c>
      <c r="AO28" s="56">
        <f t="shared" si="17"/>
        <v>6.6091178850822774E-2</v>
      </c>
      <c r="AP28" s="57">
        <f t="shared" si="18"/>
        <v>0.27131002062646903</v>
      </c>
      <c r="AQ28" s="56">
        <f t="shared" si="19"/>
        <v>0.21571383942517963</v>
      </c>
      <c r="AR28" s="56">
        <f t="shared" si="20"/>
        <v>0.64222972972972969</v>
      </c>
      <c r="AS28" s="56">
        <f t="shared" si="21"/>
        <v>0.83125778331257782</v>
      </c>
      <c r="AT28" s="56">
        <f t="shared" si="22"/>
        <v>0.9393040194227138</v>
      </c>
      <c r="AU28" s="57">
        <f t="shared" si="23"/>
        <v>0.60776130858157051</v>
      </c>
      <c r="AV28" s="52">
        <v>2035</v>
      </c>
      <c r="AW28" s="52">
        <v>3773</v>
      </c>
      <c r="AX28" s="52">
        <v>3852</v>
      </c>
      <c r="AY28" s="52">
        <v>3411</v>
      </c>
      <c r="AZ28" s="58">
        <f t="shared" si="25"/>
        <v>13071</v>
      </c>
      <c r="BA28" s="52">
        <v>1525</v>
      </c>
      <c r="BB28" s="52">
        <v>2786</v>
      </c>
      <c r="BC28" s="52">
        <v>3147</v>
      </c>
      <c r="BD28" s="52">
        <v>3009</v>
      </c>
      <c r="BE28" s="59">
        <f t="shared" si="27"/>
        <v>10467</v>
      </c>
      <c r="BF28" s="52">
        <v>732</v>
      </c>
      <c r="BG28" s="52">
        <v>1805</v>
      </c>
      <c r="BH28" s="52">
        <v>2524</v>
      </c>
      <c r="BI28" s="52">
        <v>2777</v>
      </c>
      <c r="BJ28" s="60">
        <f t="shared" si="29"/>
        <v>7838</v>
      </c>
      <c r="BK28" s="52">
        <v>362</v>
      </c>
      <c r="BL28" s="52">
        <v>963</v>
      </c>
      <c r="BM28" s="52">
        <v>1461</v>
      </c>
      <c r="BN28" s="52">
        <v>2026</v>
      </c>
      <c r="BO28" s="55">
        <f t="shared" si="31"/>
        <v>4812</v>
      </c>
      <c r="BP28" s="61"/>
      <c r="BQ28" s="62">
        <f t="shared" si="32"/>
        <v>0.31786941580756012</v>
      </c>
      <c r="BR28" s="62">
        <f t="shared" si="33"/>
        <v>0.63733108108108105</v>
      </c>
      <c r="BS28" s="62">
        <f t="shared" si="34"/>
        <v>0.79950186799501866</v>
      </c>
      <c r="BT28" s="62">
        <f t="shared" si="35"/>
        <v>0.92015106555165904</v>
      </c>
      <c r="BU28" s="63">
        <f t="shared" si="36"/>
        <v>0.62699669017124771</v>
      </c>
      <c r="BV28" s="62">
        <f t="shared" si="37"/>
        <v>0.23820681037175884</v>
      </c>
      <c r="BW28" s="62">
        <f t="shared" si="38"/>
        <v>0.4706081081081081</v>
      </c>
      <c r="BX28" s="62">
        <f t="shared" si="39"/>
        <v>0.65317559153175586</v>
      </c>
      <c r="BY28" s="62">
        <f t="shared" si="40"/>
        <v>0.81170758025357437</v>
      </c>
      <c r="BZ28" s="64">
        <f t="shared" si="41"/>
        <v>0.50208663116995256</v>
      </c>
      <c r="CA28" s="62">
        <f t="shared" si="42"/>
        <v>0.11433926897844424</v>
      </c>
      <c r="CB28" s="62">
        <f t="shared" si="43"/>
        <v>0.30489864864864863</v>
      </c>
      <c r="CC28" s="62">
        <f t="shared" si="44"/>
        <v>0.52386882523868827</v>
      </c>
      <c r="CD28" s="62">
        <f t="shared" si="45"/>
        <v>0.74912328028055031</v>
      </c>
      <c r="CE28" s="65">
        <f t="shared" si="46"/>
        <v>0.3759773588525927</v>
      </c>
      <c r="CF28" s="62">
        <f t="shared" si="47"/>
        <v>5.6544829740706029E-2</v>
      </c>
      <c r="CG28" s="62">
        <f t="shared" si="48"/>
        <v>0.16266891891891891</v>
      </c>
      <c r="CH28" s="62">
        <f t="shared" si="49"/>
        <v>0.30323785803237857</v>
      </c>
      <c r="CI28" s="62">
        <f t="shared" si="50"/>
        <v>0.54653358510925276</v>
      </c>
      <c r="CJ28" s="66">
        <f t="shared" si="51"/>
        <v>0.23082457907612605</v>
      </c>
      <c r="CK28" s="62">
        <f t="shared" si="77"/>
        <v>0.18174008122461732</v>
      </c>
      <c r="CL28" s="62">
        <f t="shared" si="77"/>
        <v>0.39387668918918922</v>
      </c>
      <c r="CM28" s="62">
        <f t="shared" si="77"/>
        <v>0.56994603569946034</v>
      </c>
      <c r="CN28" s="62">
        <f t="shared" si="77"/>
        <v>0.75687887779875918</v>
      </c>
      <c r="CO28" s="67">
        <f t="shared" si="53"/>
        <v>0.43397131481747975</v>
      </c>
      <c r="CP28" s="48"/>
    </row>
    <row r="29" spans="1:94" ht="30.75" customHeight="1" x14ac:dyDescent="0.3">
      <c r="A29" s="36" t="s">
        <v>63</v>
      </c>
      <c r="B29" s="37"/>
      <c r="C29" s="38"/>
      <c r="D29" s="39"/>
      <c r="E29" s="40">
        <f t="shared" ref="E29:F29" si="89">SUM(E30:E36)</f>
        <v>1393</v>
      </c>
      <c r="F29" s="40">
        <f t="shared" si="89"/>
        <v>1383</v>
      </c>
      <c r="G29" s="41">
        <f t="shared" si="1"/>
        <v>0.99282124910265612</v>
      </c>
      <c r="H29" s="40">
        <f t="shared" ref="H29:K29" si="90">SUM(H30:H36)</f>
        <v>57372</v>
      </c>
      <c r="I29" s="40">
        <f t="shared" si="90"/>
        <v>51010</v>
      </c>
      <c r="J29" s="40">
        <f t="shared" si="90"/>
        <v>40170</v>
      </c>
      <c r="K29" s="40">
        <f t="shared" si="90"/>
        <v>28128</v>
      </c>
      <c r="L29" s="42">
        <f t="shared" si="3"/>
        <v>176680</v>
      </c>
      <c r="M29" s="40">
        <f t="shared" ref="M29:P29" si="91">SUM(M30:M36)</f>
        <v>54721</v>
      </c>
      <c r="N29" s="40">
        <f t="shared" si="91"/>
        <v>48965</v>
      </c>
      <c r="O29" s="40">
        <f t="shared" si="91"/>
        <v>38798</v>
      </c>
      <c r="P29" s="40">
        <f t="shared" si="91"/>
        <v>27429</v>
      </c>
      <c r="Q29" s="42">
        <f t="shared" si="5"/>
        <v>169913</v>
      </c>
      <c r="R29" s="40">
        <f t="shared" ref="R29:U29" si="92">SUM(R30:R36)</f>
        <v>5789</v>
      </c>
      <c r="S29" s="40">
        <f t="shared" si="92"/>
        <v>627</v>
      </c>
      <c r="T29" s="40">
        <f t="shared" si="92"/>
        <v>54</v>
      </c>
      <c r="U29" s="40">
        <f t="shared" si="92"/>
        <v>27</v>
      </c>
      <c r="V29" s="43">
        <f t="shared" si="7"/>
        <v>6497</v>
      </c>
      <c r="W29" s="40">
        <f t="shared" ref="W29:Z29" si="93">SUM(W30:W36)</f>
        <v>11014</v>
      </c>
      <c r="X29" s="40">
        <f t="shared" si="93"/>
        <v>3493</v>
      </c>
      <c r="Y29" s="40">
        <f t="shared" si="93"/>
        <v>566</v>
      </c>
      <c r="Z29" s="40">
        <f t="shared" si="93"/>
        <v>110</v>
      </c>
      <c r="AA29" s="43">
        <f t="shared" si="9"/>
        <v>15183</v>
      </c>
      <c r="AB29" s="40">
        <f t="shared" ref="AB29:AE29" si="94">SUM(AB30:AB36)</f>
        <v>20732</v>
      </c>
      <c r="AC29" s="40">
        <f t="shared" si="94"/>
        <v>15051</v>
      </c>
      <c r="AD29" s="40">
        <f t="shared" si="94"/>
        <v>7133</v>
      </c>
      <c r="AE29" s="40">
        <f t="shared" si="94"/>
        <v>1831</v>
      </c>
      <c r="AF29" s="43">
        <f t="shared" si="11"/>
        <v>44747</v>
      </c>
      <c r="AG29" s="40">
        <f t="shared" ref="AG29:AJ29" si="95">SUM(AG30:AG36)</f>
        <v>17186</v>
      </c>
      <c r="AH29" s="40">
        <f t="shared" si="95"/>
        <v>29794</v>
      </c>
      <c r="AI29" s="40">
        <f t="shared" si="95"/>
        <v>31045</v>
      </c>
      <c r="AJ29" s="40">
        <f t="shared" si="95"/>
        <v>25461</v>
      </c>
      <c r="AK29" s="43">
        <f t="shared" si="13"/>
        <v>103486</v>
      </c>
      <c r="AL29" s="44">
        <f t="shared" si="14"/>
        <v>0.37886734526050331</v>
      </c>
      <c r="AM29" s="44">
        <f t="shared" si="15"/>
        <v>0.30738282446645565</v>
      </c>
      <c r="AN29" s="44">
        <f t="shared" si="16"/>
        <v>0.18384968297334914</v>
      </c>
      <c r="AO29" s="44">
        <f t="shared" si="17"/>
        <v>6.6754165299500526E-2</v>
      </c>
      <c r="AP29" s="44">
        <f t="shared" si="18"/>
        <v>0.26335242153337296</v>
      </c>
      <c r="AQ29" s="44">
        <f t="shared" si="19"/>
        <v>0.31406589791853218</v>
      </c>
      <c r="AR29" s="44">
        <f t="shared" si="20"/>
        <v>0.60847544164198919</v>
      </c>
      <c r="AS29" s="44">
        <f t="shared" si="21"/>
        <v>0.80017011186143616</v>
      </c>
      <c r="AT29" s="44">
        <f t="shared" si="22"/>
        <v>0.9282511210762332</v>
      </c>
      <c r="AU29" s="44">
        <f t="shared" si="23"/>
        <v>0.6090528682325661</v>
      </c>
      <c r="AV29" s="40">
        <f t="shared" ref="AV29:AY29" si="96">SUM(AV30:AV36)</f>
        <v>23037</v>
      </c>
      <c r="AW29" s="40">
        <f t="shared" si="96"/>
        <v>33372</v>
      </c>
      <c r="AX29" s="40">
        <f t="shared" si="96"/>
        <v>31861</v>
      </c>
      <c r="AY29" s="40">
        <f t="shared" si="96"/>
        <v>25072</v>
      </c>
      <c r="AZ29" s="43">
        <f t="shared" si="25"/>
        <v>113342</v>
      </c>
      <c r="BA29" s="40">
        <f t="shared" ref="BA29:BD29" si="97">SUM(BA30:BA36)</f>
        <v>17996</v>
      </c>
      <c r="BB29" s="40">
        <f t="shared" si="97"/>
        <v>26936</v>
      </c>
      <c r="BC29" s="40">
        <f t="shared" si="97"/>
        <v>27024</v>
      </c>
      <c r="BD29" s="40">
        <f t="shared" si="97"/>
        <v>23179</v>
      </c>
      <c r="BE29" s="43">
        <f t="shared" si="27"/>
        <v>95135</v>
      </c>
      <c r="BF29" s="40">
        <f t="shared" ref="BF29:BI29" si="98">SUM(BF30:BF36)</f>
        <v>10949</v>
      </c>
      <c r="BG29" s="40">
        <f t="shared" si="98"/>
        <v>20425</v>
      </c>
      <c r="BH29" s="40">
        <f t="shared" si="98"/>
        <v>23443</v>
      </c>
      <c r="BI29" s="40">
        <f t="shared" si="98"/>
        <v>21255</v>
      </c>
      <c r="BJ29" s="43">
        <f t="shared" si="29"/>
        <v>76072</v>
      </c>
      <c r="BK29" s="40">
        <f t="shared" ref="BK29:BN29" si="99">SUM(BK30:BK36)</f>
        <v>7066</v>
      </c>
      <c r="BL29" s="40">
        <f t="shared" si="99"/>
        <v>12855</v>
      </c>
      <c r="BM29" s="40">
        <f t="shared" si="99"/>
        <v>16368</v>
      </c>
      <c r="BN29" s="40">
        <f t="shared" si="99"/>
        <v>16576</v>
      </c>
      <c r="BO29" s="43">
        <f t="shared" si="31"/>
        <v>52865</v>
      </c>
      <c r="BP29" s="45"/>
      <c r="BQ29" s="46">
        <f t="shared" si="32"/>
        <v>0.42099011348476817</v>
      </c>
      <c r="BR29" s="46">
        <f t="shared" si="33"/>
        <v>0.68154804452159701</v>
      </c>
      <c r="BS29" s="46">
        <f t="shared" si="34"/>
        <v>0.82120212382081548</v>
      </c>
      <c r="BT29" s="46">
        <f t="shared" si="35"/>
        <v>0.91406905100441138</v>
      </c>
      <c r="BU29" s="46">
        <f t="shared" si="36"/>
        <v>0.66705902432421293</v>
      </c>
      <c r="BV29" s="46">
        <f t="shared" si="37"/>
        <v>0.32886825898649513</v>
      </c>
      <c r="BW29" s="46">
        <f t="shared" si="38"/>
        <v>0.55010721944245888</v>
      </c>
      <c r="BX29" s="46">
        <f t="shared" si="39"/>
        <v>0.69653074900768086</v>
      </c>
      <c r="BY29" s="46">
        <f t="shared" si="40"/>
        <v>0.84505450435670271</v>
      </c>
      <c r="BZ29" s="47">
        <f t="shared" si="41"/>
        <v>0.55990418626002714</v>
      </c>
      <c r="CA29" s="46">
        <f t="shared" si="42"/>
        <v>0.20008771769521755</v>
      </c>
      <c r="CB29" s="46">
        <f t="shared" si="43"/>
        <v>0.41713468804247933</v>
      </c>
      <c r="CC29" s="46">
        <f t="shared" si="44"/>
        <v>0.60423217691633591</v>
      </c>
      <c r="CD29" s="46">
        <f t="shared" si="45"/>
        <v>0.77490976703489012</v>
      </c>
      <c r="CE29" s="47">
        <f t="shared" si="46"/>
        <v>0.44771147587294674</v>
      </c>
      <c r="CF29" s="46">
        <f t="shared" si="47"/>
        <v>0.1291277571681804</v>
      </c>
      <c r="CG29" s="46">
        <f t="shared" si="48"/>
        <v>0.26253446339221892</v>
      </c>
      <c r="CH29" s="46">
        <f t="shared" si="49"/>
        <v>0.42187741636166814</v>
      </c>
      <c r="CI29" s="46">
        <f t="shared" si="50"/>
        <v>0.60432389077254001</v>
      </c>
      <c r="CJ29" s="47">
        <f t="shared" si="51"/>
        <v>0.31112981349278751</v>
      </c>
      <c r="CK29" s="46">
        <f t="shared" si="77"/>
        <v>0.26976846183366532</v>
      </c>
      <c r="CL29" s="46">
        <f t="shared" si="77"/>
        <v>0.47783110384968852</v>
      </c>
      <c r="CM29" s="46">
        <f t="shared" si="77"/>
        <v>0.63596061652662506</v>
      </c>
      <c r="CN29" s="46">
        <f t="shared" si="77"/>
        <v>0.78458930329213605</v>
      </c>
      <c r="CO29" s="47">
        <f t="shared" si="53"/>
        <v>0.49645112498749361</v>
      </c>
      <c r="CP29" s="48"/>
    </row>
    <row r="30" spans="1:94" ht="30.75" customHeight="1" x14ac:dyDescent="0.3">
      <c r="A30" s="49">
        <v>24</v>
      </c>
      <c r="B30" s="50" t="s">
        <v>64</v>
      </c>
      <c r="C30" s="50" t="s">
        <v>65</v>
      </c>
      <c r="D30" s="51">
        <v>45901</v>
      </c>
      <c r="E30" s="52">
        <v>188</v>
      </c>
      <c r="F30" s="52">
        <v>188</v>
      </c>
      <c r="G30" s="53">
        <f t="shared" si="1"/>
        <v>1</v>
      </c>
      <c r="H30" s="79">
        <v>8358</v>
      </c>
      <c r="I30" s="52">
        <v>7391</v>
      </c>
      <c r="J30" s="52">
        <v>5780</v>
      </c>
      <c r="K30" s="52">
        <v>3990</v>
      </c>
      <c r="L30" s="54">
        <f t="shared" si="3"/>
        <v>25519</v>
      </c>
      <c r="M30" s="52">
        <v>8035</v>
      </c>
      <c r="N30" s="52">
        <v>7160</v>
      </c>
      <c r="O30" s="52">
        <v>5605</v>
      </c>
      <c r="P30" s="52">
        <v>3901</v>
      </c>
      <c r="Q30" s="54">
        <f t="shared" si="5"/>
        <v>24701</v>
      </c>
      <c r="R30" s="52">
        <v>496</v>
      </c>
      <c r="S30" s="52">
        <v>90</v>
      </c>
      <c r="T30" s="52">
        <v>20</v>
      </c>
      <c r="U30" s="52">
        <v>8</v>
      </c>
      <c r="V30" s="55">
        <f t="shared" si="7"/>
        <v>614</v>
      </c>
      <c r="W30" s="52">
        <v>1738</v>
      </c>
      <c r="X30" s="52">
        <v>504</v>
      </c>
      <c r="Y30" s="52">
        <v>130</v>
      </c>
      <c r="Z30" s="52">
        <v>37</v>
      </c>
      <c r="AA30" s="55">
        <f t="shared" si="9"/>
        <v>2409</v>
      </c>
      <c r="AB30" s="52">
        <v>3530</v>
      </c>
      <c r="AC30" s="52">
        <v>2461</v>
      </c>
      <c r="AD30" s="52">
        <v>1019</v>
      </c>
      <c r="AE30" s="52">
        <v>315</v>
      </c>
      <c r="AF30" s="55">
        <f t="shared" si="11"/>
        <v>7325</v>
      </c>
      <c r="AG30" s="52">
        <v>2271</v>
      </c>
      <c r="AH30" s="52">
        <v>4105</v>
      </c>
      <c r="AI30" s="52">
        <v>4436</v>
      </c>
      <c r="AJ30" s="52">
        <v>3541</v>
      </c>
      <c r="AK30" s="55">
        <f t="shared" si="13"/>
        <v>14353</v>
      </c>
      <c r="AL30" s="56">
        <f t="shared" si="14"/>
        <v>0.43932794026135658</v>
      </c>
      <c r="AM30" s="56">
        <f t="shared" si="15"/>
        <v>0.34371508379888266</v>
      </c>
      <c r="AN30" s="56">
        <f t="shared" si="16"/>
        <v>0.18180196253345227</v>
      </c>
      <c r="AO30" s="56">
        <f t="shared" si="17"/>
        <v>8.0748526018969494E-2</v>
      </c>
      <c r="AP30" s="57">
        <f t="shared" si="18"/>
        <v>0.29654669851423021</v>
      </c>
      <c r="AQ30" s="56">
        <f t="shared" si="19"/>
        <v>0.28263845675171129</v>
      </c>
      <c r="AR30" s="56">
        <f t="shared" si="20"/>
        <v>0.5733240223463687</v>
      </c>
      <c r="AS30" s="56">
        <f t="shared" si="21"/>
        <v>0.79143621766280103</v>
      </c>
      <c r="AT30" s="56">
        <f t="shared" si="22"/>
        <v>0.90771597026403483</v>
      </c>
      <c r="AU30" s="57">
        <f t="shared" si="23"/>
        <v>0.58106959232419741</v>
      </c>
      <c r="AV30" s="52">
        <v>3100</v>
      </c>
      <c r="AW30" s="52">
        <v>4518</v>
      </c>
      <c r="AX30" s="52">
        <v>4619</v>
      </c>
      <c r="AY30" s="52">
        <v>3505</v>
      </c>
      <c r="AZ30" s="58">
        <f t="shared" si="25"/>
        <v>15742</v>
      </c>
      <c r="BA30" s="52">
        <v>2627</v>
      </c>
      <c r="BB30" s="52">
        <v>3634</v>
      </c>
      <c r="BC30" s="52">
        <v>3768</v>
      </c>
      <c r="BD30" s="52">
        <v>3170</v>
      </c>
      <c r="BE30" s="59">
        <f t="shared" si="27"/>
        <v>13199</v>
      </c>
      <c r="BF30" s="52">
        <v>1441</v>
      </c>
      <c r="BG30" s="52">
        <v>2411</v>
      </c>
      <c r="BH30" s="52">
        <v>3000</v>
      </c>
      <c r="BI30" s="52">
        <v>2798</v>
      </c>
      <c r="BJ30" s="60">
        <f t="shared" si="29"/>
        <v>9650</v>
      </c>
      <c r="BK30" s="52">
        <v>880</v>
      </c>
      <c r="BL30" s="52">
        <v>1444</v>
      </c>
      <c r="BM30" s="52">
        <v>2063</v>
      </c>
      <c r="BN30" s="52">
        <v>2165</v>
      </c>
      <c r="BO30" s="55">
        <f t="shared" si="31"/>
        <v>6552</v>
      </c>
      <c r="BP30" s="61"/>
      <c r="BQ30" s="62">
        <f t="shared" si="32"/>
        <v>0.38581207218419417</v>
      </c>
      <c r="BR30" s="62">
        <f t="shared" si="33"/>
        <v>0.63100558659217876</v>
      </c>
      <c r="BS30" s="62">
        <f t="shared" si="34"/>
        <v>0.82408563782337196</v>
      </c>
      <c r="BT30" s="62">
        <f t="shared" si="35"/>
        <v>0.89848756729043833</v>
      </c>
      <c r="BU30" s="63">
        <f t="shared" si="36"/>
        <v>0.63730213351686171</v>
      </c>
      <c r="BV30" s="62">
        <f t="shared" si="37"/>
        <v>0.32694461729931551</v>
      </c>
      <c r="BW30" s="62">
        <f t="shared" si="38"/>
        <v>0.50754189944134076</v>
      </c>
      <c r="BX30" s="62">
        <f t="shared" si="39"/>
        <v>0.67225691347011596</v>
      </c>
      <c r="BY30" s="62">
        <f t="shared" si="40"/>
        <v>0.81261215073058191</v>
      </c>
      <c r="BZ30" s="64">
        <f t="shared" si="41"/>
        <v>0.53435083599854261</v>
      </c>
      <c r="CA30" s="62">
        <f t="shared" si="42"/>
        <v>0.17934038581207218</v>
      </c>
      <c r="CB30" s="62">
        <f t="shared" si="43"/>
        <v>0.33673184357541902</v>
      </c>
      <c r="CC30" s="62">
        <f t="shared" si="44"/>
        <v>0.53523639607493312</v>
      </c>
      <c r="CD30" s="62">
        <f t="shared" si="45"/>
        <v>0.71725198667008461</v>
      </c>
      <c r="CE30" s="65">
        <f t="shared" si="46"/>
        <v>0.39067244241123839</v>
      </c>
      <c r="CF30" s="62">
        <f t="shared" si="47"/>
        <v>0.10952084629744867</v>
      </c>
      <c r="CG30" s="62">
        <f t="shared" si="48"/>
        <v>0.20167597765363129</v>
      </c>
      <c r="CH30" s="62">
        <f t="shared" si="49"/>
        <v>0.368064228367529</v>
      </c>
      <c r="CI30" s="62">
        <f t="shared" si="50"/>
        <v>0.55498590105101253</v>
      </c>
      <c r="CJ30" s="66">
        <f t="shared" si="51"/>
        <v>0.26525241893040769</v>
      </c>
      <c r="CK30" s="62">
        <f t="shared" si="77"/>
        <v>0.25040448039825763</v>
      </c>
      <c r="CL30" s="62">
        <f t="shared" si="77"/>
        <v>0.41923882681564245</v>
      </c>
      <c r="CM30" s="62">
        <f t="shared" si="77"/>
        <v>0.5999107939339875</v>
      </c>
      <c r="CN30" s="62">
        <f t="shared" si="77"/>
        <v>0.74583440143552937</v>
      </c>
      <c r="CO30" s="67">
        <f t="shared" si="53"/>
        <v>0.45689445771426263</v>
      </c>
      <c r="CP30" s="48"/>
    </row>
    <row r="31" spans="1:94" ht="30.75" customHeight="1" x14ac:dyDescent="0.3">
      <c r="A31" s="49">
        <v>25</v>
      </c>
      <c r="B31" s="50" t="s">
        <v>64</v>
      </c>
      <c r="C31" s="50" t="s">
        <v>66</v>
      </c>
      <c r="D31" s="51">
        <v>45902</v>
      </c>
      <c r="E31" s="52">
        <v>314</v>
      </c>
      <c r="F31" s="52">
        <v>314</v>
      </c>
      <c r="G31" s="53">
        <f t="shared" si="1"/>
        <v>1</v>
      </c>
      <c r="H31" s="52">
        <v>11985</v>
      </c>
      <c r="I31" s="52">
        <v>10621</v>
      </c>
      <c r="J31" s="52">
        <v>8452</v>
      </c>
      <c r="K31" s="52">
        <v>5772</v>
      </c>
      <c r="L31" s="54">
        <f t="shared" si="3"/>
        <v>36830</v>
      </c>
      <c r="M31" s="52">
        <v>11274</v>
      </c>
      <c r="N31" s="52">
        <v>9989</v>
      </c>
      <c r="O31" s="52">
        <v>7929</v>
      </c>
      <c r="P31" s="52">
        <v>5539</v>
      </c>
      <c r="Q31" s="54">
        <f t="shared" si="5"/>
        <v>34731</v>
      </c>
      <c r="R31" s="52">
        <v>982</v>
      </c>
      <c r="S31" s="52">
        <v>45</v>
      </c>
      <c r="T31" s="52">
        <v>8</v>
      </c>
      <c r="U31" s="52">
        <v>0</v>
      </c>
      <c r="V31" s="55">
        <f t="shared" si="7"/>
        <v>1035</v>
      </c>
      <c r="W31" s="52">
        <v>2582</v>
      </c>
      <c r="X31" s="52">
        <v>668</v>
      </c>
      <c r="Y31" s="52">
        <v>113</v>
      </c>
      <c r="Z31" s="52">
        <v>13</v>
      </c>
      <c r="AA31" s="55">
        <f t="shared" si="9"/>
        <v>3376</v>
      </c>
      <c r="AB31" s="52">
        <v>4483</v>
      </c>
      <c r="AC31" s="52">
        <v>3019</v>
      </c>
      <c r="AD31" s="52">
        <v>1182</v>
      </c>
      <c r="AE31" s="52">
        <v>229</v>
      </c>
      <c r="AF31" s="55">
        <f t="shared" si="11"/>
        <v>8913</v>
      </c>
      <c r="AG31" s="52">
        <v>3227</v>
      </c>
      <c r="AH31" s="52">
        <v>6257</v>
      </c>
      <c r="AI31" s="52">
        <v>6626</v>
      </c>
      <c r="AJ31" s="52">
        <v>5297</v>
      </c>
      <c r="AK31" s="55">
        <f t="shared" si="13"/>
        <v>21407</v>
      </c>
      <c r="AL31" s="56">
        <f t="shared" si="14"/>
        <v>0.39764058896576193</v>
      </c>
      <c r="AM31" s="56">
        <f t="shared" si="15"/>
        <v>0.30223245570127139</v>
      </c>
      <c r="AN31" s="56">
        <f t="shared" si="16"/>
        <v>0.14907302307983353</v>
      </c>
      <c r="AO31" s="56">
        <f t="shared" si="17"/>
        <v>4.1343202744177653E-2</v>
      </c>
      <c r="AP31" s="57">
        <f t="shared" si="18"/>
        <v>0.25662952405631856</v>
      </c>
      <c r="AQ31" s="56">
        <f t="shared" si="19"/>
        <v>0.28623381231151324</v>
      </c>
      <c r="AR31" s="56">
        <f t="shared" si="20"/>
        <v>0.62638902793072382</v>
      </c>
      <c r="AS31" s="56">
        <f t="shared" si="21"/>
        <v>0.83566654054735778</v>
      </c>
      <c r="AT31" s="56">
        <f t="shared" si="22"/>
        <v>0.9563098032135765</v>
      </c>
      <c r="AU31" s="57">
        <f t="shared" si="23"/>
        <v>0.61636578273012588</v>
      </c>
      <c r="AV31" s="52">
        <v>4046</v>
      </c>
      <c r="AW31" s="52">
        <v>6429</v>
      </c>
      <c r="AX31" s="52">
        <v>6294</v>
      </c>
      <c r="AY31" s="52">
        <v>4865</v>
      </c>
      <c r="AZ31" s="58">
        <f t="shared" si="25"/>
        <v>21634</v>
      </c>
      <c r="BA31" s="52">
        <v>2833</v>
      </c>
      <c r="BB31" s="52">
        <v>4837</v>
      </c>
      <c r="BC31" s="52">
        <v>5033</v>
      </c>
      <c r="BD31" s="52">
        <v>4450</v>
      </c>
      <c r="BE31" s="59">
        <f t="shared" si="27"/>
        <v>17153</v>
      </c>
      <c r="BF31" s="52">
        <v>1748</v>
      </c>
      <c r="BG31" s="52">
        <v>3198</v>
      </c>
      <c r="BH31" s="52">
        <v>4130</v>
      </c>
      <c r="BI31" s="52">
        <v>4108</v>
      </c>
      <c r="BJ31" s="60">
        <f t="shared" si="29"/>
        <v>13184</v>
      </c>
      <c r="BK31" s="52">
        <v>1014</v>
      </c>
      <c r="BL31" s="52">
        <v>1783</v>
      </c>
      <c r="BM31" s="52">
        <v>2522</v>
      </c>
      <c r="BN31" s="52">
        <v>2941</v>
      </c>
      <c r="BO31" s="55">
        <f t="shared" si="31"/>
        <v>8260</v>
      </c>
      <c r="BP31" s="61"/>
      <c r="BQ31" s="62">
        <f t="shared" si="32"/>
        <v>0.35887883626042222</v>
      </c>
      <c r="BR31" s="62">
        <f t="shared" si="33"/>
        <v>0.64360796876564219</v>
      </c>
      <c r="BS31" s="62">
        <f t="shared" si="34"/>
        <v>0.79379493000378354</v>
      </c>
      <c r="BT31" s="62">
        <f t="shared" si="35"/>
        <v>0.87831738580971297</v>
      </c>
      <c r="BU31" s="63">
        <f t="shared" si="36"/>
        <v>0.62290173044254415</v>
      </c>
      <c r="BV31" s="62">
        <f t="shared" si="37"/>
        <v>0.25128614511264857</v>
      </c>
      <c r="BW31" s="62">
        <f t="shared" si="38"/>
        <v>0.48423265592151365</v>
      </c>
      <c r="BX31" s="62">
        <f t="shared" si="39"/>
        <v>0.63475848152352121</v>
      </c>
      <c r="BY31" s="62">
        <f t="shared" si="40"/>
        <v>0.8033941144610941</v>
      </c>
      <c r="BZ31" s="64">
        <f t="shared" si="41"/>
        <v>0.49388154674498286</v>
      </c>
      <c r="CA31" s="62">
        <f t="shared" si="42"/>
        <v>0.15504701082135888</v>
      </c>
      <c r="CB31" s="62">
        <f t="shared" si="43"/>
        <v>0.32015216738412255</v>
      </c>
      <c r="CC31" s="62">
        <f t="shared" si="44"/>
        <v>0.52087274561735397</v>
      </c>
      <c r="CD31" s="62">
        <f t="shared" si="45"/>
        <v>0.7416501173497021</v>
      </c>
      <c r="CE31" s="65">
        <f t="shared" si="46"/>
        <v>0.37960323630186288</v>
      </c>
      <c r="CF31" s="62">
        <f t="shared" si="47"/>
        <v>8.9941458222458748E-2</v>
      </c>
      <c r="CG31" s="62">
        <f t="shared" si="48"/>
        <v>0.17849634598057865</v>
      </c>
      <c r="CH31" s="62">
        <f t="shared" si="49"/>
        <v>0.31807289696052465</v>
      </c>
      <c r="CI31" s="62">
        <f t="shared" si="50"/>
        <v>0.53096226755732079</v>
      </c>
      <c r="CJ31" s="66">
        <f t="shared" si="51"/>
        <v>0.23782787711266593</v>
      </c>
      <c r="CK31" s="62">
        <f t="shared" si="77"/>
        <v>0.21378836260422207</v>
      </c>
      <c r="CL31" s="62">
        <f t="shared" si="77"/>
        <v>0.40662228451296423</v>
      </c>
      <c r="CM31" s="62">
        <f t="shared" si="77"/>
        <v>0.56687476352629584</v>
      </c>
      <c r="CN31" s="62">
        <f t="shared" si="77"/>
        <v>0.73858097129445754</v>
      </c>
      <c r="CO31" s="67">
        <f t="shared" si="53"/>
        <v>0.43355359765051393</v>
      </c>
      <c r="CP31" s="48"/>
    </row>
    <row r="32" spans="1:94" ht="30.75" customHeight="1" x14ac:dyDescent="0.3">
      <c r="A32" s="49">
        <v>26</v>
      </c>
      <c r="B32" s="50" t="s">
        <v>64</v>
      </c>
      <c r="C32" s="50" t="s">
        <v>67</v>
      </c>
      <c r="D32" s="51">
        <v>45903</v>
      </c>
      <c r="E32" s="52">
        <v>53</v>
      </c>
      <c r="F32" s="52">
        <v>53</v>
      </c>
      <c r="G32" s="53">
        <f t="shared" si="1"/>
        <v>1</v>
      </c>
      <c r="H32" s="79">
        <v>2964</v>
      </c>
      <c r="I32" s="52">
        <v>2986</v>
      </c>
      <c r="J32" s="52">
        <v>2540</v>
      </c>
      <c r="K32" s="52">
        <v>2182</v>
      </c>
      <c r="L32" s="54">
        <f t="shared" si="3"/>
        <v>10672</v>
      </c>
      <c r="M32" s="52">
        <v>2781</v>
      </c>
      <c r="N32" s="52">
        <v>2869</v>
      </c>
      <c r="O32" s="52">
        <v>2420</v>
      </c>
      <c r="P32" s="52">
        <v>2082</v>
      </c>
      <c r="Q32" s="54">
        <f t="shared" si="5"/>
        <v>10152</v>
      </c>
      <c r="R32" s="52">
        <v>120</v>
      </c>
      <c r="S32" s="52">
        <v>7</v>
      </c>
      <c r="T32" s="52">
        <v>0</v>
      </c>
      <c r="U32" s="52">
        <v>8</v>
      </c>
      <c r="V32" s="55">
        <f t="shared" si="7"/>
        <v>135</v>
      </c>
      <c r="W32" s="52">
        <v>540</v>
      </c>
      <c r="X32" s="52">
        <v>176</v>
      </c>
      <c r="Y32" s="52">
        <v>87</v>
      </c>
      <c r="Z32" s="52">
        <v>27</v>
      </c>
      <c r="AA32" s="55">
        <f t="shared" si="9"/>
        <v>830</v>
      </c>
      <c r="AB32" s="52">
        <v>1657</v>
      </c>
      <c r="AC32" s="52">
        <v>1159</v>
      </c>
      <c r="AD32" s="52">
        <v>463</v>
      </c>
      <c r="AE32" s="52">
        <v>104</v>
      </c>
      <c r="AF32" s="55">
        <f t="shared" si="11"/>
        <v>3383</v>
      </c>
      <c r="AG32" s="52">
        <v>464</v>
      </c>
      <c r="AH32" s="52">
        <v>1527</v>
      </c>
      <c r="AI32" s="52">
        <v>1870</v>
      </c>
      <c r="AJ32" s="52">
        <v>1943</v>
      </c>
      <c r="AK32" s="55">
        <f t="shared" si="13"/>
        <v>5804</v>
      </c>
      <c r="AL32" s="56">
        <f t="shared" si="14"/>
        <v>0.59582883854728519</v>
      </c>
      <c r="AM32" s="56">
        <f t="shared" si="15"/>
        <v>0.40397350993377484</v>
      </c>
      <c r="AN32" s="56">
        <f t="shared" si="16"/>
        <v>0.19132231404958677</v>
      </c>
      <c r="AO32" s="56">
        <f t="shared" si="17"/>
        <v>4.9951969260326606E-2</v>
      </c>
      <c r="AP32" s="57">
        <f t="shared" si="18"/>
        <v>0.3332348305752561</v>
      </c>
      <c r="AQ32" s="56">
        <f t="shared" si="19"/>
        <v>0.16684645810859403</v>
      </c>
      <c r="AR32" s="56">
        <f t="shared" si="20"/>
        <v>0.5322411990240502</v>
      </c>
      <c r="AS32" s="56">
        <f t="shared" si="21"/>
        <v>0.77272727272727271</v>
      </c>
      <c r="AT32" s="56">
        <f t="shared" si="22"/>
        <v>0.93323727185398653</v>
      </c>
      <c r="AU32" s="57">
        <f t="shared" si="23"/>
        <v>0.57171000788022064</v>
      </c>
      <c r="AV32" s="52">
        <v>860</v>
      </c>
      <c r="AW32" s="52">
        <v>1974</v>
      </c>
      <c r="AX32" s="52">
        <v>2076</v>
      </c>
      <c r="AY32" s="52">
        <v>1946</v>
      </c>
      <c r="AZ32" s="58">
        <f t="shared" si="25"/>
        <v>6856</v>
      </c>
      <c r="BA32" s="52">
        <v>484</v>
      </c>
      <c r="BB32" s="52">
        <v>1294</v>
      </c>
      <c r="BC32" s="52">
        <v>1588</v>
      </c>
      <c r="BD32" s="52">
        <v>1771</v>
      </c>
      <c r="BE32" s="59">
        <f t="shared" si="27"/>
        <v>5137</v>
      </c>
      <c r="BF32" s="52">
        <v>88</v>
      </c>
      <c r="BG32" s="52">
        <v>649</v>
      </c>
      <c r="BH32" s="52">
        <v>1244</v>
      </c>
      <c r="BI32" s="52">
        <v>1582</v>
      </c>
      <c r="BJ32" s="60">
        <f t="shared" si="29"/>
        <v>3563</v>
      </c>
      <c r="BK32" s="52">
        <v>26</v>
      </c>
      <c r="BL32" s="52">
        <v>315</v>
      </c>
      <c r="BM32" s="52">
        <v>744</v>
      </c>
      <c r="BN32" s="52">
        <v>1194</v>
      </c>
      <c r="BO32" s="55">
        <f t="shared" si="31"/>
        <v>2279</v>
      </c>
      <c r="BP32" s="61"/>
      <c r="BQ32" s="62">
        <f t="shared" si="32"/>
        <v>0.30924128011506652</v>
      </c>
      <c r="BR32" s="62">
        <f t="shared" si="33"/>
        <v>0.6880446148483792</v>
      </c>
      <c r="BS32" s="62">
        <f t="shared" si="34"/>
        <v>0.85785123966942145</v>
      </c>
      <c r="BT32" s="62">
        <f t="shared" si="35"/>
        <v>0.93467819404418828</v>
      </c>
      <c r="BU32" s="63">
        <f t="shared" si="36"/>
        <v>0.67533490937746254</v>
      </c>
      <c r="BV32" s="62">
        <f t="shared" si="37"/>
        <v>0.17403811578568859</v>
      </c>
      <c r="BW32" s="62">
        <f t="shared" si="38"/>
        <v>0.45102823283373999</v>
      </c>
      <c r="BX32" s="62">
        <f t="shared" si="39"/>
        <v>0.65619834710743796</v>
      </c>
      <c r="BY32" s="62">
        <f t="shared" si="40"/>
        <v>0.85062439961575409</v>
      </c>
      <c r="BZ32" s="64">
        <f t="shared" si="41"/>
        <v>0.50600866824271085</v>
      </c>
      <c r="CA32" s="62">
        <f t="shared" si="42"/>
        <v>3.1643293779216111E-2</v>
      </c>
      <c r="CB32" s="62">
        <f t="shared" si="43"/>
        <v>0.2262112234227954</v>
      </c>
      <c r="CC32" s="62">
        <f t="shared" si="44"/>
        <v>0.51404958677685952</v>
      </c>
      <c r="CD32" s="62">
        <f t="shared" si="45"/>
        <v>0.75984630163304512</v>
      </c>
      <c r="CE32" s="65">
        <f t="shared" si="46"/>
        <v>0.35096532702915684</v>
      </c>
      <c r="CF32" s="62">
        <f t="shared" si="47"/>
        <v>9.3491549802229412E-3</v>
      </c>
      <c r="CG32" s="62">
        <f t="shared" si="48"/>
        <v>0.109794353433252</v>
      </c>
      <c r="CH32" s="62">
        <f t="shared" si="49"/>
        <v>0.30743801652892561</v>
      </c>
      <c r="CI32" s="62">
        <f t="shared" si="50"/>
        <v>0.57348703170028814</v>
      </c>
      <c r="CJ32" s="66">
        <f t="shared" si="51"/>
        <v>0.22448778565799843</v>
      </c>
      <c r="CK32" s="62">
        <f t="shared" si="77"/>
        <v>0.13106796116504854</v>
      </c>
      <c r="CL32" s="62">
        <f t="shared" si="77"/>
        <v>0.36876960613454163</v>
      </c>
      <c r="CM32" s="62">
        <f t="shared" si="77"/>
        <v>0.58388429752066118</v>
      </c>
      <c r="CN32" s="62">
        <f t="shared" si="77"/>
        <v>0.77965898174831894</v>
      </c>
      <c r="CO32" s="67">
        <f t="shared" si="53"/>
        <v>0.43919917257683216</v>
      </c>
      <c r="CP32" s="48"/>
    </row>
    <row r="33" spans="1:94" ht="30.75" customHeight="1" x14ac:dyDescent="0.3">
      <c r="A33" s="49">
        <v>27</v>
      </c>
      <c r="B33" s="50" t="s">
        <v>64</v>
      </c>
      <c r="C33" s="50" t="s">
        <v>68</v>
      </c>
      <c r="D33" s="51">
        <v>45904</v>
      </c>
      <c r="E33" s="52">
        <v>250</v>
      </c>
      <c r="F33" s="52">
        <v>249</v>
      </c>
      <c r="G33" s="53">
        <f t="shared" si="1"/>
        <v>0.996</v>
      </c>
      <c r="H33" s="79">
        <v>11715</v>
      </c>
      <c r="I33" s="52">
        <v>10500</v>
      </c>
      <c r="J33" s="52">
        <v>8106</v>
      </c>
      <c r="K33" s="52">
        <v>5837</v>
      </c>
      <c r="L33" s="54">
        <f t="shared" si="3"/>
        <v>36158</v>
      </c>
      <c r="M33" s="52">
        <v>11333</v>
      </c>
      <c r="N33" s="52">
        <v>10196</v>
      </c>
      <c r="O33" s="52">
        <v>7958</v>
      </c>
      <c r="P33" s="52">
        <v>5777</v>
      </c>
      <c r="Q33" s="54">
        <f t="shared" si="5"/>
        <v>35264</v>
      </c>
      <c r="R33" s="52">
        <v>2408</v>
      </c>
      <c r="S33" s="52">
        <v>335</v>
      </c>
      <c r="T33" s="52">
        <v>5</v>
      </c>
      <c r="U33" s="52">
        <v>0</v>
      </c>
      <c r="V33" s="55">
        <f t="shared" si="7"/>
        <v>2748</v>
      </c>
      <c r="W33" s="52">
        <v>2914</v>
      </c>
      <c r="X33" s="52">
        <v>1077</v>
      </c>
      <c r="Y33" s="52">
        <v>104</v>
      </c>
      <c r="Z33" s="52">
        <v>14</v>
      </c>
      <c r="AA33" s="55">
        <f t="shared" si="9"/>
        <v>4109</v>
      </c>
      <c r="AB33" s="52">
        <v>3395</v>
      </c>
      <c r="AC33" s="52">
        <v>3274</v>
      </c>
      <c r="AD33" s="52">
        <v>1685</v>
      </c>
      <c r="AE33" s="52">
        <v>428</v>
      </c>
      <c r="AF33" s="55">
        <f t="shared" si="11"/>
        <v>8782</v>
      </c>
      <c r="AG33" s="52">
        <v>2616</v>
      </c>
      <c r="AH33" s="52">
        <v>5510</v>
      </c>
      <c r="AI33" s="52">
        <v>6164</v>
      </c>
      <c r="AJ33" s="52">
        <v>5335</v>
      </c>
      <c r="AK33" s="55">
        <f t="shared" si="13"/>
        <v>19625</v>
      </c>
      <c r="AL33" s="56">
        <f t="shared" si="14"/>
        <v>0.29956763434218653</v>
      </c>
      <c r="AM33" s="56">
        <f t="shared" si="15"/>
        <v>0.32110631620243235</v>
      </c>
      <c r="AN33" s="56">
        <f t="shared" si="16"/>
        <v>0.21173661724051268</v>
      </c>
      <c r="AO33" s="56">
        <f t="shared" si="17"/>
        <v>7.4086896312965209E-2</v>
      </c>
      <c r="AP33" s="57">
        <f t="shared" si="18"/>
        <v>0.24903584392014519</v>
      </c>
      <c r="AQ33" s="56">
        <f t="shared" si="19"/>
        <v>0.23083031853878055</v>
      </c>
      <c r="AR33" s="56">
        <f t="shared" si="20"/>
        <v>0.54040800313848569</v>
      </c>
      <c r="AS33" s="56">
        <f t="shared" si="21"/>
        <v>0.77456647398843925</v>
      </c>
      <c r="AT33" s="56">
        <f t="shared" si="22"/>
        <v>0.92348970053661072</v>
      </c>
      <c r="AU33" s="57">
        <f t="shared" si="23"/>
        <v>0.55651656079854805</v>
      </c>
      <c r="AV33" s="52">
        <v>3726</v>
      </c>
      <c r="AW33" s="52">
        <v>6637</v>
      </c>
      <c r="AX33" s="52">
        <v>6420</v>
      </c>
      <c r="AY33" s="52">
        <v>5280</v>
      </c>
      <c r="AZ33" s="58">
        <f t="shared" si="25"/>
        <v>22063</v>
      </c>
      <c r="BA33" s="52">
        <v>2517</v>
      </c>
      <c r="BB33" s="52">
        <v>5010</v>
      </c>
      <c r="BC33" s="52">
        <v>5242</v>
      </c>
      <c r="BD33" s="52">
        <v>4761</v>
      </c>
      <c r="BE33" s="59">
        <f t="shared" si="27"/>
        <v>17530</v>
      </c>
      <c r="BF33" s="52">
        <v>1600</v>
      </c>
      <c r="BG33" s="52">
        <v>4857</v>
      </c>
      <c r="BH33" s="52">
        <v>5316</v>
      </c>
      <c r="BI33" s="52">
        <v>4716</v>
      </c>
      <c r="BJ33" s="60">
        <f t="shared" si="29"/>
        <v>16489</v>
      </c>
      <c r="BK33" s="52">
        <v>828</v>
      </c>
      <c r="BL33" s="52">
        <v>2515</v>
      </c>
      <c r="BM33" s="52">
        <v>3522</v>
      </c>
      <c r="BN33" s="52">
        <v>3608</v>
      </c>
      <c r="BO33" s="55">
        <f t="shared" si="31"/>
        <v>10473</v>
      </c>
      <c r="BP33" s="61"/>
      <c r="BQ33" s="62">
        <f t="shared" si="32"/>
        <v>0.32877437571693285</v>
      </c>
      <c r="BR33" s="62">
        <f t="shared" si="33"/>
        <v>0.65094154570419771</v>
      </c>
      <c r="BS33" s="62">
        <f t="shared" si="34"/>
        <v>0.8067353606433777</v>
      </c>
      <c r="BT33" s="62">
        <f t="shared" si="35"/>
        <v>0.91396918815994466</v>
      </c>
      <c r="BU33" s="63">
        <f t="shared" si="36"/>
        <v>0.62565222323048997</v>
      </c>
      <c r="BV33" s="62">
        <f t="shared" si="37"/>
        <v>0.22209476749316157</v>
      </c>
      <c r="BW33" s="62">
        <f t="shared" si="38"/>
        <v>0.49136916437818751</v>
      </c>
      <c r="BX33" s="62">
        <f t="shared" si="39"/>
        <v>0.65870821814526259</v>
      </c>
      <c r="BY33" s="62">
        <f t="shared" si="40"/>
        <v>0.82413017136922273</v>
      </c>
      <c r="BZ33" s="64">
        <f t="shared" si="41"/>
        <v>0.49710753176043559</v>
      </c>
      <c r="CA33" s="62">
        <f t="shared" si="42"/>
        <v>0.14118062295949882</v>
      </c>
      <c r="CB33" s="62">
        <f t="shared" si="43"/>
        <v>0.47636327971753628</v>
      </c>
      <c r="CC33" s="62">
        <f t="shared" si="44"/>
        <v>0.6680070369439558</v>
      </c>
      <c r="CD33" s="62">
        <f t="shared" si="45"/>
        <v>0.81634066124285964</v>
      </c>
      <c r="CE33" s="65">
        <f t="shared" si="46"/>
        <v>0.46758734119782214</v>
      </c>
      <c r="CF33" s="62">
        <f t="shared" si="47"/>
        <v>7.3060972381540634E-2</v>
      </c>
      <c r="CG33" s="62">
        <f t="shared" si="48"/>
        <v>0.24666535896429972</v>
      </c>
      <c r="CH33" s="62">
        <f t="shared" si="49"/>
        <v>0.44257351093239505</v>
      </c>
      <c r="CI33" s="62">
        <f t="shared" si="50"/>
        <v>0.62454561190929547</v>
      </c>
      <c r="CJ33" s="66">
        <f t="shared" si="51"/>
        <v>0.29698843012704174</v>
      </c>
      <c r="CK33" s="62">
        <f t="shared" si="77"/>
        <v>0.19127768463778347</v>
      </c>
      <c r="CL33" s="62">
        <f t="shared" si="77"/>
        <v>0.46633483719105534</v>
      </c>
      <c r="CM33" s="62">
        <f t="shared" si="77"/>
        <v>0.6440060316662477</v>
      </c>
      <c r="CN33" s="62">
        <f t="shared" si="77"/>
        <v>0.79474640817033071</v>
      </c>
      <c r="CO33" s="67">
        <f t="shared" si="53"/>
        <v>0.47183388157894735</v>
      </c>
      <c r="CP33" s="48"/>
    </row>
    <row r="34" spans="1:94" ht="30.75" customHeight="1" x14ac:dyDescent="0.3">
      <c r="A34" s="49">
        <v>28</v>
      </c>
      <c r="B34" s="50" t="s">
        <v>64</v>
      </c>
      <c r="C34" s="50" t="s">
        <v>69</v>
      </c>
      <c r="D34" s="51">
        <v>45905</v>
      </c>
      <c r="E34" s="52">
        <v>256</v>
      </c>
      <c r="F34" s="52">
        <v>248</v>
      </c>
      <c r="G34" s="53">
        <f t="shared" si="1"/>
        <v>0.96875</v>
      </c>
      <c r="H34" s="52">
        <v>9929</v>
      </c>
      <c r="I34" s="52">
        <v>8190</v>
      </c>
      <c r="J34" s="52">
        <v>6437</v>
      </c>
      <c r="K34" s="52">
        <v>4209</v>
      </c>
      <c r="L34" s="54">
        <f t="shared" si="3"/>
        <v>28765</v>
      </c>
      <c r="M34" s="52">
        <v>9705</v>
      </c>
      <c r="N34" s="52">
        <v>8033</v>
      </c>
      <c r="O34" s="52">
        <v>6341</v>
      </c>
      <c r="P34" s="52">
        <v>4170</v>
      </c>
      <c r="Q34" s="54">
        <f t="shared" si="5"/>
        <v>28249</v>
      </c>
      <c r="R34" s="52">
        <v>1363</v>
      </c>
      <c r="S34" s="52">
        <v>101</v>
      </c>
      <c r="T34" s="52">
        <v>8</v>
      </c>
      <c r="U34" s="52">
        <v>0</v>
      </c>
      <c r="V34" s="55">
        <f t="shared" si="7"/>
        <v>1472</v>
      </c>
      <c r="W34" s="52">
        <v>1441</v>
      </c>
      <c r="X34" s="52">
        <v>660</v>
      </c>
      <c r="Y34" s="52">
        <v>85</v>
      </c>
      <c r="Z34" s="52">
        <v>9</v>
      </c>
      <c r="AA34" s="55">
        <f t="shared" si="9"/>
        <v>2195</v>
      </c>
      <c r="AB34" s="52">
        <v>2919</v>
      </c>
      <c r="AC34" s="52">
        <v>2168</v>
      </c>
      <c r="AD34" s="52">
        <v>1233</v>
      </c>
      <c r="AE34" s="52">
        <v>361</v>
      </c>
      <c r="AF34" s="55">
        <f t="shared" si="11"/>
        <v>6681</v>
      </c>
      <c r="AG34" s="52">
        <v>3982</v>
      </c>
      <c r="AH34" s="52">
        <v>5104</v>
      </c>
      <c r="AI34" s="52">
        <v>5015</v>
      </c>
      <c r="AJ34" s="52">
        <v>3800</v>
      </c>
      <c r="AK34" s="55">
        <f t="shared" si="13"/>
        <v>17901</v>
      </c>
      <c r="AL34" s="56">
        <f t="shared" si="14"/>
        <v>0.30077279752704789</v>
      </c>
      <c r="AM34" s="56">
        <f t="shared" si="15"/>
        <v>0.26988671729117392</v>
      </c>
      <c r="AN34" s="56">
        <f t="shared" si="16"/>
        <v>0.19444882510645009</v>
      </c>
      <c r="AO34" s="56">
        <f t="shared" si="17"/>
        <v>8.6570743405275777E-2</v>
      </c>
      <c r="AP34" s="57">
        <f t="shared" si="18"/>
        <v>0.23650394704237318</v>
      </c>
      <c r="AQ34" s="56">
        <f t="shared" si="19"/>
        <v>0.41030396702730554</v>
      </c>
      <c r="AR34" s="56">
        <f t="shared" si="20"/>
        <v>0.63537906137184119</v>
      </c>
      <c r="AS34" s="56">
        <f t="shared" si="21"/>
        <v>0.79088471849865949</v>
      </c>
      <c r="AT34" s="56">
        <f t="shared" si="22"/>
        <v>0.91127098321342925</v>
      </c>
      <c r="AU34" s="57">
        <f t="shared" si="23"/>
        <v>0.63368614818223656</v>
      </c>
      <c r="AV34" s="52">
        <v>4858</v>
      </c>
      <c r="AW34" s="52">
        <v>5449</v>
      </c>
      <c r="AX34" s="52">
        <v>5044</v>
      </c>
      <c r="AY34" s="52">
        <v>3823</v>
      </c>
      <c r="AZ34" s="58">
        <f t="shared" si="25"/>
        <v>19174</v>
      </c>
      <c r="BA34" s="52">
        <v>4399</v>
      </c>
      <c r="BB34" s="52">
        <v>5082</v>
      </c>
      <c r="BC34" s="52">
        <v>4721</v>
      </c>
      <c r="BD34" s="52">
        <v>3685</v>
      </c>
      <c r="BE34" s="59">
        <f t="shared" si="27"/>
        <v>17887</v>
      </c>
      <c r="BF34" s="52">
        <v>2686</v>
      </c>
      <c r="BG34" s="52">
        <v>4132</v>
      </c>
      <c r="BH34" s="52">
        <v>3943</v>
      </c>
      <c r="BI34" s="52">
        <v>3084</v>
      </c>
      <c r="BJ34" s="60">
        <f t="shared" si="29"/>
        <v>13845</v>
      </c>
      <c r="BK34" s="52">
        <v>1921</v>
      </c>
      <c r="BL34" s="52">
        <v>3205</v>
      </c>
      <c r="BM34" s="52">
        <v>3290</v>
      </c>
      <c r="BN34" s="52">
        <v>2620</v>
      </c>
      <c r="BO34" s="55">
        <f t="shared" si="31"/>
        <v>11036</v>
      </c>
      <c r="BP34" s="61"/>
      <c r="BQ34" s="62">
        <f t="shared" si="32"/>
        <v>0.50056671818650178</v>
      </c>
      <c r="BR34" s="62">
        <f t="shared" si="33"/>
        <v>0.67832690153118391</v>
      </c>
      <c r="BS34" s="62">
        <f t="shared" si="34"/>
        <v>0.79545812963255003</v>
      </c>
      <c r="BT34" s="62">
        <f t="shared" si="35"/>
        <v>0.9167865707434053</v>
      </c>
      <c r="BU34" s="63">
        <f t="shared" si="36"/>
        <v>0.67874969025452225</v>
      </c>
      <c r="BV34" s="62">
        <f t="shared" si="37"/>
        <v>0.45327150953116951</v>
      </c>
      <c r="BW34" s="62">
        <f t="shared" si="38"/>
        <v>0.63264035852110045</v>
      </c>
      <c r="BX34" s="62">
        <f t="shared" si="39"/>
        <v>0.74451979183094152</v>
      </c>
      <c r="BY34" s="62">
        <f t="shared" si="40"/>
        <v>0.88369304556354911</v>
      </c>
      <c r="BZ34" s="64">
        <f t="shared" si="41"/>
        <v>0.63319055541789093</v>
      </c>
      <c r="CA34" s="62">
        <f t="shared" si="42"/>
        <v>0.27676455435342606</v>
      </c>
      <c r="CB34" s="62">
        <f t="shared" si="43"/>
        <v>0.51437818996638862</v>
      </c>
      <c r="CC34" s="62">
        <f t="shared" si="44"/>
        <v>0.62182621037691221</v>
      </c>
      <c r="CD34" s="62">
        <f t="shared" si="45"/>
        <v>0.73956834532374105</v>
      </c>
      <c r="CE34" s="65">
        <f t="shared" si="46"/>
        <v>0.49010584445467098</v>
      </c>
      <c r="CF34" s="62">
        <f t="shared" si="47"/>
        <v>0.1979392065945389</v>
      </c>
      <c r="CG34" s="62">
        <f t="shared" si="48"/>
        <v>0.39897921075563303</v>
      </c>
      <c r="CH34" s="62">
        <f t="shared" si="49"/>
        <v>0.51884560794827317</v>
      </c>
      <c r="CI34" s="62">
        <f t="shared" si="50"/>
        <v>0.62829736211031173</v>
      </c>
      <c r="CJ34" s="66">
        <f t="shared" si="51"/>
        <v>0.39066869623703493</v>
      </c>
      <c r="CK34" s="62">
        <f t="shared" si="77"/>
        <v>0.35713549716640908</v>
      </c>
      <c r="CL34" s="62">
        <f t="shared" si="77"/>
        <v>0.55608116519357653</v>
      </c>
      <c r="CM34" s="62">
        <f t="shared" si="77"/>
        <v>0.67016243494716932</v>
      </c>
      <c r="CN34" s="62">
        <f t="shared" si="77"/>
        <v>0.79208633093525183</v>
      </c>
      <c r="CO34" s="67">
        <f t="shared" si="53"/>
        <v>0.5481786965910298</v>
      </c>
      <c r="CP34" s="48"/>
    </row>
    <row r="35" spans="1:94" ht="30.75" customHeight="1" x14ac:dyDescent="0.3">
      <c r="A35" s="49">
        <v>29</v>
      </c>
      <c r="B35" s="50" t="s">
        <v>64</v>
      </c>
      <c r="C35" s="50" t="s">
        <v>70</v>
      </c>
      <c r="D35" s="51">
        <v>45906</v>
      </c>
      <c r="E35" s="52">
        <v>171</v>
      </c>
      <c r="F35" s="52">
        <v>170</v>
      </c>
      <c r="G35" s="53">
        <f t="shared" si="1"/>
        <v>0.99415204678362568</v>
      </c>
      <c r="H35" s="79">
        <v>5817</v>
      </c>
      <c r="I35" s="52">
        <v>5127</v>
      </c>
      <c r="J35" s="52">
        <v>4403</v>
      </c>
      <c r="K35" s="52">
        <v>3244</v>
      </c>
      <c r="L35" s="54">
        <f t="shared" si="3"/>
        <v>18591</v>
      </c>
      <c r="M35" s="52">
        <v>5296</v>
      </c>
      <c r="N35" s="52">
        <v>4761</v>
      </c>
      <c r="O35" s="52">
        <v>4231</v>
      </c>
      <c r="P35" s="52">
        <v>3112</v>
      </c>
      <c r="Q35" s="54">
        <f t="shared" si="5"/>
        <v>17400</v>
      </c>
      <c r="R35" s="52">
        <v>169</v>
      </c>
      <c r="S35" s="52">
        <v>17</v>
      </c>
      <c r="T35" s="52">
        <v>12</v>
      </c>
      <c r="U35" s="52">
        <v>11</v>
      </c>
      <c r="V35" s="55">
        <f t="shared" si="7"/>
        <v>209</v>
      </c>
      <c r="W35" s="52">
        <v>998</v>
      </c>
      <c r="X35" s="52">
        <v>195</v>
      </c>
      <c r="Y35" s="52">
        <v>29</v>
      </c>
      <c r="Z35" s="52">
        <v>1</v>
      </c>
      <c r="AA35" s="55">
        <f t="shared" si="9"/>
        <v>1223</v>
      </c>
      <c r="AB35" s="52">
        <v>2446</v>
      </c>
      <c r="AC35" s="52">
        <v>1321</v>
      </c>
      <c r="AD35" s="52">
        <v>603</v>
      </c>
      <c r="AE35" s="52">
        <v>105</v>
      </c>
      <c r="AF35" s="55">
        <f t="shared" si="11"/>
        <v>4475</v>
      </c>
      <c r="AG35" s="52">
        <v>1683</v>
      </c>
      <c r="AH35" s="52">
        <v>3228</v>
      </c>
      <c r="AI35" s="52">
        <v>3587</v>
      </c>
      <c r="AJ35" s="52">
        <v>2995</v>
      </c>
      <c r="AK35" s="55">
        <f t="shared" si="13"/>
        <v>11493</v>
      </c>
      <c r="AL35" s="56">
        <f t="shared" si="14"/>
        <v>0.4618580060422961</v>
      </c>
      <c r="AM35" s="56">
        <f t="shared" si="15"/>
        <v>0.27746271791640409</v>
      </c>
      <c r="AN35" s="56">
        <f t="shared" si="16"/>
        <v>0.14251949893642166</v>
      </c>
      <c r="AO35" s="56">
        <f t="shared" si="17"/>
        <v>3.3740359897172237E-2</v>
      </c>
      <c r="AP35" s="57">
        <f t="shared" si="18"/>
        <v>0.25718390804597702</v>
      </c>
      <c r="AQ35" s="56">
        <f t="shared" si="19"/>
        <v>0.31778700906344409</v>
      </c>
      <c r="AR35" s="56">
        <f t="shared" si="20"/>
        <v>0.67800882167611842</v>
      </c>
      <c r="AS35" s="56">
        <f t="shared" si="21"/>
        <v>0.8477901205388797</v>
      </c>
      <c r="AT35" s="56">
        <f t="shared" si="22"/>
        <v>0.96240359897172234</v>
      </c>
      <c r="AU35" s="57">
        <f t="shared" si="23"/>
        <v>0.66051724137931034</v>
      </c>
      <c r="AV35" s="52">
        <v>2633</v>
      </c>
      <c r="AW35" s="52">
        <v>3633</v>
      </c>
      <c r="AX35" s="52">
        <v>3725</v>
      </c>
      <c r="AY35" s="52">
        <v>2951</v>
      </c>
      <c r="AZ35" s="58">
        <f t="shared" si="25"/>
        <v>12942</v>
      </c>
      <c r="BA35" s="52">
        <v>1991</v>
      </c>
      <c r="BB35" s="52">
        <v>2951</v>
      </c>
      <c r="BC35" s="52">
        <v>3268</v>
      </c>
      <c r="BD35" s="52">
        <v>2756</v>
      </c>
      <c r="BE35" s="59">
        <f t="shared" si="27"/>
        <v>10966</v>
      </c>
      <c r="BF35" s="52">
        <v>1218</v>
      </c>
      <c r="BG35" s="52">
        <v>2164</v>
      </c>
      <c r="BH35" s="52">
        <v>2801</v>
      </c>
      <c r="BI35" s="52">
        <v>2580</v>
      </c>
      <c r="BJ35" s="60">
        <f t="shared" si="29"/>
        <v>8763</v>
      </c>
      <c r="BK35" s="52">
        <v>811</v>
      </c>
      <c r="BL35" s="52">
        <v>1464</v>
      </c>
      <c r="BM35" s="52">
        <v>1950</v>
      </c>
      <c r="BN35" s="52">
        <v>2080</v>
      </c>
      <c r="BO35" s="55">
        <f t="shared" si="31"/>
        <v>6305</v>
      </c>
      <c r="BP35" s="61"/>
      <c r="BQ35" s="62">
        <f t="shared" si="32"/>
        <v>0.49716767371601206</v>
      </c>
      <c r="BR35" s="62">
        <f t="shared" si="33"/>
        <v>0.76307498424700693</v>
      </c>
      <c r="BS35" s="62">
        <f t="shared" si="34"/>
        <v>0.88040652328054836</v>
      </c>
      <c r="BT35" s="62">
        <f t="shared" si="35"/>
        <v>0.94826478149100257</v>
      </c>
      <c r="BU35" s="63">
        <f t="shared" si="36"/>
        <v>0.74379310344827587</v>
      </c>
      <c r="BV35" s="62">
        <f t="shared" si="37"/>
        <v>0.37594410876132933</v>
      </c>
      <c r="BW35" s="62">
        <f t="shared" si="38"/>
        <v>0.61982776727578237</v>
      </c>
      <c r="BX35" s="62">
        <f t="shared" si="39"/>
        <v>0.77239423304183408</v>
      </c>
      <c r="BY35" s="62">
        <f t="shared" si="40"/>
        <v>0.88560411311053988</v>
      </c>
      <c r="BZ35" s="64">
        <f t="shared" si="41"/>
        <v>0.63022988505747124</v>
      </c>
      <c r="CA35" s="62">
        <f t="shared" si="42"/>
        <v>0.22998489425981872</v>
      </c>
      <c r="CB35" s="62">
        <f t="shared" si="43"/>
        <v>0.45452636000840158</v>
      </c>
      <c r="CC35" s="62">
        <f t="shared" si="44"/>
        <v>0.66201843535807137</v>
      </c>
      <c r="CD35" s="62">
        <f t="shared" si="45"/>
        <v>0.8290488431876607</v>
      </c>
      <c r="CE35" s="65">
        <f t="shared" si="46"/>
        <v>0.50362068965517237</v>
      </c>
      <c r="CF35" s="62">
        <f t="shared" si="47"/>
        <v>0.15313444108761329</v>
      </c>
      <c r="CG35" s="62">
        <f t="shared" si="48"/>
        <v>0.30749842470069311</v>
      </c>
      <c r="CH35" s="62">
        <f t="shared" si="49"/>
        <v>0.46088395178444813</v>
      </c>
      <c r="CI35" s="62">
        <f t="shared" si="50"/>
        <v>0.66838046272493579</v>
      </c>
      <c r="CJ35" s="66">
        <f t="shared" si="51"/>
        <v>0.36235632183908045</v>
      </c>
      <c r="CK35" s="62">
        <f t="shared" ref="CK35:CN50" si="100">IFERROR((BQ35+BV35+CA35+CF35)/4,"")</f>
        <v>0.31405777945619329</v>
      </c>
      <c r="CL35" s="62">
        <f t="shared" si="100"/>
        <v>0.53623188405797095</v>
      </c>
      <c r="CM35" s="62">
        <f t="shared" si="100"/>
        <v>0.69392578586622544</v>
      </c>
      <c r="CN35" s="62">
        <f t="shared" si="100"/>
        <v>0.83282455012853474</v>
      </c>
      <c r="CO35" s="67">
        <f t="shared" si="53"/>
        <v>0.55999999999999994</v>
      </c>
      <c r="CP35" s="48"/>
    </row>
    <row r="36" spans="1:94" ht="30.75" customHeight="1" x14ac:dyDescent="0.3">
      <c r="A36" s="49">
        <v>30</v>
      </c>
      <c r="B36" s="50" t="s">
        <v>64</v>
      </c>
      <c r="C36" s="50" t="s">
        <v>71</v>
      </c>
      <c r="D36" s="51">
        <v>45907</v>
      </c>
      <c r="E36" s="52">
        <v>161</v>
      </c>
      <c r="F36" s="52">
        <v>161</v>
      </c>
      <c r="G36" s="53">
        <f t="shared" si="1"/>
        <v>1</v>
      </c>
      <c r="H36" s="79">
        <v>6604</v>
      </c>
      <c r="I36" s="52">
        <v>6195</v>
      </c>
      <c r="J36" s="52">
        <v>4452</v>
      </c>
      <c r="K36" s="52">
        <v>2894</v>
      </c>
      <c r="L36" s="54">
        <f t="shared" si="3"/>
        <v>20145</v>
      </c>
      <c r="M36" s="52">
        <v>6297</v>
      </c>
      <c r="N36" s="52">
        <v>5957</v>
      </c>
      <c r="O36" s="52">
        <v>4314</v>
      </c>
      <c r="P36" s="52">
        <v>2848</v>
      </c>
      <c r="Q36" s="54">
        <f t="shared" si="5"/>
        <v>19416</v>
      </c>
      <c r="R36" s="52">
        <v>251</v>
      </c>
      <c r="S36" s="52">
        <v>32</v>
      </c>
      <c r="T36" s="52">
        <v>1</v>
      </c>
      <c r="U36" s="52">
        <v>0</v>
      </c>
      <c r="V36" s="55">
        <f t="shared" si="7"/>
        <v>284</v>
      </c>
      <c r="W36" s="52">
        <v>801</v>
      </c>
      <c r="X36" s="52">
        <v>213</v>
      </c>
      <c r="Y36" s="52">
        <v>18</v>
      </c>
      <c r="Z36" s="52">
        <v>9</v>
      </c>
      <c r="AA36" s="55">
        <f t="shared" si="9"/>
        <v>1041</v>
      </c>
      <c r="AB36" s="52">
        <v>2302</v>
      </c>
      <c r="AC36" s="52">
        <v>1649</v>
      </c>
      <c r="AD36" s="52">
        <v>948</v>
      </c>
      <c r="AE36" s="52">
        <v>289</v>
      </c>
      <c r="AF36" s="55">
        <f t="shared" si="11"/>
        <v>5188</v>
      </c>
      <c r="AG36" s="52">
        <v>2943</v>
      </c>
      <c r="AH36" s="52">
        <v>4063</v>
      </c>
      <c r="AI36" s="52">
        <v>3347</v>
      </c>
      <c r="AJ36" s="52">
        <v>2550</v>
      </c>
      <c r="AK36" s="55">
        <f t="shared" si="13"/>
        <v>12903</v>
      </c>
      <c r="AL36" s="56">
        <f t="shared" si="14"/>
        <v>0.36557090678100684</v>
      </c>
      <c r="AM36" s="56">
        <f t="shared" si="15"/>
        <v>0.27681718986066811</v>
      </c>
      <c r="AN36" s="56">
        <f t="shared" si="16"/>
        <v>0.21974965229485396</v>
      </c>
      <c r="AO36" s="56">
        <f t="shared" si="17"/>
        <v>0.1014747191011236</v>
      </c>
      <c r="AP36" s="57">
        <f t="shared" si="18"/>
        <v>0.26720230737536055</v>
      </c>
      <c r="AQ36" s="56">
        <f t="shared" si="19"/>
        <v>0.46736541210100047</v>
      </c>
      <c r="AR36" s="56">
        <f t="shared" si="20"/>
        <v>0.68205472553298641</v>
      </c>
      <c r="AS36" s="56">
        <f t="shared" si="21"/>
        <v>0.77584608252202136</v>
      </c>
      <c r="AT36" s="56">
        <f t="shared" si="22"/>
        <v>0.8953651685393258</v>
      </c>
      <c r="AU36" s="57">
        <f t="shared" si="23"/>
        <v>0.6645550061804697</v>
      </c>
      <c r="AV36" s="52">
        <v>3814</v>
      </c>
      <c r="AW36" s="52">
        <v>4732</v>
      </c>
      <c r="AX36" s="52">
        <v>3683</v>
      </c>
      <c r="AY36" s="52">
        <v>2702</v>
      </c>
      <c r="AZ36" s="58">
        <f t="shared" si="25"/>
        <v>14931</v>
      </c>
      <c r="BA36" s="52">
        <v>3145</v>
      </c>
      <c r="BB36" s="52">
        <v>4128</v>
      </c>
      <c r="BC36" s="52">
        <v>3404</v>
      </c>
      <c r="BD36" s="52">
        <v>2586</v>
      </c>
      <c r="BE36" s="59">
        <f t="shared" si="27"/>
        <v>13263</v>
      </c>
      <c r="BF36" s="52">
        <v>2168</v>
      </c>
      <c r="BG36" s="52">
        <v>3014</v>
      </c>
      <c r="BH36" s="52">
        <v>3009</v>
      </c>
      <c r="BI36" s="52">
        <v>2387</v>
      </c>
      <c r="BJ36" s="60">
        <f t="shared" si="29"/>
        <v>10578</v>
      </c>
      <c r="BK36" s="52">
        <v>1586</v>
      </c>
      <c r="BL36" s="52">
        <v>2129</v>
      </c>
      <c r="BM36" s="52">
        <v>2277</v>
      </c>
      <c r="BN36" s="52">
        <v>1968</v>
      </c>
      <c r="BO36" s="55">
        <f t="shared" si="31"/>
        <v>7960</v>
      </c>
      <c r="BP36" s="61"/>
      <c r="BQ36" s="62">
        <f t="shared" si="32"/>
        <v>0.60568524694298875</v>
      </c>
      <c r="BR36" s="62">
        <f t="shared" si="33"/>
        <v>0.79435957696827264</v>
      </c>
      <c r="BS36" s="62">
        <f t="shared" si="34"/>
        <v>0.85373203523412144</v>
      </c>
      <c r="BT36" s="62">
        <f t="shared" si="35"/>
        <v>0.9487359550561798</v>
      </c>
      <c r="BU36" s="63">
        <f t="shared" si="36"/>
        <v>0.7690049443757726</v>
      </c>
      <c r="BV36" s="62">
        <f t="shared" si="37"/>
        <v>0.49944417976814354</v>
      </c>
      <c r="BW36" s="62">
        <f t="shared" si="38"/>
        <v>0.69296625818364954</v>
      </c>
      <c r="BX36" s="62">
        <f t="shared" si="39"/>
        <v>0.78905887807139541</v>
      </c>
      <c r="BY36" s="62">
        <f t="shared" si="40"/>
        <v>0.9080056179775281</v>
      </c>
      <c r="BZ36" s="64">
        <f t="shared" si="41"/>
        <v>0.68309641532756493</v>
      </c>
      <c r="CA36" s="62">
        <f t="shared" si="42"/>
        <v>0.34429093218993173</v>
      </c>
      <c r="CB36" s="62">
        <f t="shared" si="43"/>
        <v>0.50595937552459291</v>
      </c>
      <c r="CC36" s="62">
        <f t="shared" si="44"/>
        <v>0.69749652294853959</v>
      </c>
      <c r="CD36" s="62">
        <f t="shared" si="45"/>
        <v>0.8381320224719101</v>
      </c>
      <c r="CE36" s="65">
        <f t="shared" si="46"/>
        <v>0.54480840543881337</v>
      </c>
      <c r="CF36" s="62">
        <f t="shared" si="47"/>
        <v>0.25186596792123234</v>
      </c>
      <c r="CG36" s="62">
        <f t="shared" si="48"/>
        <v>0.35739466174248785</v>
      </c>
      <c r="CH36" s="62">
        <f t="shared" si="49"/>
        <v>0.52781641168289295</v>
      </c>
      <c r="CI36" s="62">
        <f t="shared" si="50"/>
        <v>0.6910112359550562</v>
      </c>
      <c r="CJ36" s="66">
        <f t="shared" si="51"/>
        <v>0.40997115780799342</v>
      </c>
      <c r="CK36" s="62">
        <f t="shared" si="100"/>
        <v>0.42532158170557405</v>
      </c>
      <c r="CL36" s="62">
        <f t="shared" si="100"/>
        <v>0.5876699681047507</v>
      </c>
      <c r="CM36" s="62">
        <f t="shared" si="100"/>
        <v>0.7170259619842374</v>
      </c>
      <c r="CN36" s="62">
        <f t="shared" si="100"/>
        <v>0.84647120786516861</v>
      </c>
      <c r="CO36" s="67">
        <f t="shared" si="53"/>
        <v>0.60172023073753611</v>
      </c>
      <c r="CP36" s="48"/>
    </row>
    <row r="37" spans="1:94" ht="30.75" customHeight="1" x14ac:dyDescent="0.3">
      <c r="A37" s="36" t="s">
        <v>72</v>
      </c>
      <c r="B37" s="37"/>
      <c r="C37" s="38"/>
      <c r="D37" s="39"/>
      <c r="E37" s="40">
        <f t="shared" ref="E37:F37" si="101">SUM(E38:E45)</f>
        <v>1732</v>
      </c>
      <c r="F37" s="40">
        <f t="shared" si="101"/>
        <v>1686</v>
      </c>
      <c r="G37" s="41">
        <f t="shared" si="1"/>
        <v>0.97344110854503463</v>
      </c>
      <c r="H37" s="40">
        <f t="shared" ref="H37:K37" si="102">SUM(H38:H45)</f>
        <v>52804</v>
      </c>
      <c r="I37" s="40">
        <f t="shared" si="102"/>
        <v>52026</v>
      </c>
      <c r="J37" s="40">
        <f t="shared" si="102"/>
        <v>44504</v>
      </c>
      <c r="K37" s="40">
        <f t="shared" si="102"/>
        <v>34209</v>
      </c>
      <c r="L37" s="42">
        <f t="shared" si="3"/>
        <v>183543</v>
      </c>
      <c r="M37" s="40">
        <f t="shared" ref="M37:P37" si="103">SUM(M38:M45)</f>
        <v>51201</v>
      </c>
      <c r="N37" s="40">
        <f t="shared" si="103"/>
        <v>50576</v>
      </c>
      <c r="O37" s="40">
        <f t="shared" si="103"/>
        <v>43255</v>
      </c>
      <c r="P37" s="40">
        <f t="shared" si="103"/>
        <v>33271</v>
      </c>
      <c r="Q37" s="42">
        <f t="shared" si="5"/>
        <v>178303</v>
      </c>
      <c r="R37" s="40">
        <f t="shared" ref="R37:U37" si="104">SUM(R38:R45)</f>
        <v>2691</v>
      </c>
      <c r="S37" s="40">
        <f t="shared" si="104"/>
        <v>412</v>
      </c>
      <c r="T37" s="40">
        <f t="shared" si="104"/>
        <v>102</v>
      </c>
      <c r="U37" s="40">
        <f t="shared" si="104"/>
        <v>23</v>
      </c>
      <c r="V37" s="43">
        <f t="shared" si="7"/>
        <v>3228</v>
      </c>
      <c r="W37" s="40">
        <f t="shared" ref="W37:Z37" si="105">SUM(W38:W45)</f>
        <v>10553</v>
      </c>
      <c r="X37" s="40">
        <f t="shared" si="105"/>
        <v>3040</v>
      </c>
      <c r="Y37" s="40">
        <f t="shared" si="105"/>
        <v>645</v>
      </c>
      <c r="Z37" s="40">
        <f t="shared" si="105"/>
        <v>80</v>
      </c>
      <c r="AA37" s="43">
        <f t="shared" si="9"/>
        <v>14318</v>
      </c>
      <c r="AB37" s="40">
        <f t="shared" ref="AB37:AE37" si="106">SUM(AB38:AB45)</f>
        <v>27027</v>
      </c>
      <c r="AC37" s="40">
        <f t="shared" si="106"/>
        <v>17938</v>
      </c>
      <c r="AD37" s="40">
        <f t="shared" si="106"/>
        <v>7196</v>
      </c>
      <c r="AE37" s="40">
        <f t="shared" si="106"/>
        <v>1889</v>
      </c>
      <c r="AF37" s="43">
        <f t="shared" si="11"/>
        <v>54050</v>
      </c>
      <c r="AG37" s="40">
        <f t="shared" ref="AG37:AJ37" si="107">SUM(AG38:AG45)</f>
        <v>10930</v>
      </c>
      <c r="AH37" s="40">
        <f t="shared" si="107"/>
        <v>29186</v>
      </c>
      <c r="AI37" s="40">
        <f t="shared" si="107"/>
        <v>35312</v>
      </c>
      <c r="AJ37" s="40">
        <f t="shared" si="107"/>
        <v>31269</v>
      </c>
      <c r="AK37" s="43">
        <f t="shared" si="13"/>
        <v>106697</v>
      </c>
      <c r="AL37" s="44">
        <f t="shared" si="14"/>
        <v>0.52786078396906311</v>
      </c>
      <c r="AM37" s="44">
        <f t="shared" si="15"/>
        <v>0.35467415374881367</v>
      </c>
      <c r="AN37" s="44">
        <f t="shared" si="16"/>
        <v>0.16636227025777367</v>
      </c>
      <c r="AO37" s="44">
        <f t="shared" si="17"/>
        <v>5.6776171440593909E-2</v>
      </c>
      <c r="AP37" s="44">
        <f t="shared" si="18"/>
        <v>0.30313567354447207</v>
      </c>
      <c r="AQ37" s="44">
        <f t="shared" si="19"/>
        <v>0.21347239311732194</v>
      </c>
      <c r="AR37" s="44">
        <f t="shared" si="20"/>
        <v>0.57707212907307814</v>
      </c>
      <c r="AS37" s="44">
        <f t="shared" si="21"/>
        <v>0.81636804993642353</v>
      </c>
      <c r="AT37" s="44">
        <f t="shared" si="22"/>
        <v>0.93982747738270567</v>
      </c>
      <c r="AU37" s="44">
        <f t="shared" si="23"/>
        <v>0.59840271896715147</v>
      </c>
      <c r="AV37" s="40">
        <f t="shared" ref="AV37:AY37" si="108">SUM(AV38:AV45)</f>
        <v>19768</v>
      </c>
      <c r="AW37" s="40">
        <f t="shared" si="108"/>
        <v>32799</v>
      </c>
      <c r="AX37" s="40">
        <f t="shared" si="108"/>
        <v>34984</v>
      </c>
      <c r="AY37" s="40">
        <f t="shared" si="108"/>
        <v>28844</v>
      </c>
      <c r="AZ37" s="43">
        <f t="shared" si="25"/>
        <v>116395</v>
      </c>
      <c r="BA37" s="40">
        <f t="shared" ref="BA37:BD37" si="109">SUM(BA38:BA45)</f>
        <v>15121</v>
      </c>
      <c r="BB37" s="40">
        <f t="shared" si="109"/>
        <v>25318</v>
      </c>
      <c r="BC37" s="40">
        <f t="shared" si="109"/>
        <v>29680</v>
      </c>
      <c r="BD37" s="40">
        <f t="shared" si="109"/>
        <v>26955</v>
      </c>
      <c r="BE37" s="43">
        <f t="shared" si="27"/>
        <v>97074</v>
      </c>
      <c r="BF37" s="40">
        <f t="shared" ref="BF37:BI37" si="110">SUM(BF38:BF45)</f>
        <v>7058</v>
      </c>
      <c r="BG37" s="40">
        <f t="shared" si="110"/>
        <v>16016</v>
      </c>
      <c r="BH37" s="40">
        <f t="shared" si="110"/>
        <v>24358</v>
      </c>
      <c r="BI37" s="40">
        <f t="shared" si="110"/>
        <v>24339</v>
      </c>
      <c r="BJ37" s="43">
        <f t="shared" si="29"/>
        <v>71771</v>
      </c>
      <c r="BK37" s="40">
        <f t="shared" ref="BK37:BN37" si="111">SUM(BK38:BK45)</f>
        <v>4045</v>
      </c>
      <c r="BL37" s="40">
        <f t="shared" si="111"/>
        <v>9497</v>
      </c>
      <c r="BM37" s="40">
        <f t="shared" si="111"/>
        <v>16556</v>
      </c>
      <c r="BN37" s="40">
        <f t="shared" si="111"/>
        <v>20200</v>
      </c>
      <c r="BO37" s="43">
        <f t="shared" si="31"/>
        <v>50298</v>
      </c>
      <c r="BP37" s="45"/>
      <c r="BQ37" s="46">
        <f t="shared" si="32"/>
        <v>0.3860862092537255</v>
      </c>
      <c r="BR37" s="46">
        <f t="shared" si="33"/>
        <v>0.64850917431192656</v>
      </c>
      <c r="BS37" s="46">
        <f t="shared" si="34"/>
        <v>0.80878511154779797</v>
      </c>
      <c r="BT37" s="46">
        <f t="shared" si="35"/>
        <v>0.86694118000661236</v>
      </c>
      <c r="BU37" s="46">
        <f t="shared" si="36"/>
        <v>0.65279327885677751</v>
      </c>
      <c r="BV37" s="46">
        <f t="shared" si="37"/>
        <v>0.29532626315892269</v>
      </c>
      <c r="BW37" s="46">
        <f t="shared" si="38"/>
        <v>0.50059316671939258</v>
      </c>
      <c r="BX37" s="46">
        <f t="shared" si="39"/>
        <v>0.68616344931221829</v>
      </c>
      <c r="BY37" s="46">
        <f t="shared" si="40"/>
        <v>0.81016500856601847</v>
      </c>
      <c r="BZ37" s="47">
        <f t="shared" si="41"/>
        <v>0.54443279137199041</v>
      </c>
      <c r="CA37" s="46">
        <f t="shared" si="42"/>
        <v>0.13784887013925509</v>
      </c>
      <c r="CB37" s="46">
        <f t="shared" si="43"/>
        <v>0.31667193925972792</v>
      </c>
      <c r="CC37" s="46">
        <f t="shared" si="44"/>
        <v>0.56312565021384808</v>
      </c>
      <c r="CD37" s="46">
        <f t="shared" si="45"/>
        <v>0.73153797601514836</v>
      </c>
      <c r="CE37" s="47">
        <f t="shared" si="46"/>
        <v>0.40252267208067166</v>
      </c>
      <c r="CF37" s="46">
        <f t="shared" si="47"/>
        <v>7.9002363235093062E-2</v>
      </c>
      <c r="CG37" s="46">
        <f t="shared" si="48"/>
        <v>0.18777681113571654</v>
      </c>
      <c r="CH37" s="46">
        <f t="shared" si="49"/>
        <v>0.38275343890879665</v>
      </c>
      <c r="CI37" s="46">
        <f t="shared" si="50"/>
        <v>0.60713534309158124</v>
      </c>
      <c r="CJ37" s="47">
        <f t="shared" si="51"/>
        <v>0.28209284196003431</v>
      </c>
      <c r="CK37" s="46">
        <f t="shared" si="100"/>
        <v>0.22456592644674908</v>
      </c>
      <c r="CL37" s="46">
        <f t="shared" si="100"/>
        <v>0.41338777285669093</v>
      </c>
      <c r="CM37" s="46">
        <f t="shared" si="100"/>
        <v>0.61020691249566517</v>
      </c>
      <c r="CN37" s="46">
        <f t="shared" si="100"/>
        <v>0.75394487691984013</v>
      </c>
      <c r="CO37" s="47">
        <f t="shared" si="53"/>
        <v>0.47046039606736845</v>
      </c>
      <c r="CP37" s="48"/>
    </row>
    <row r="38" spans="1:94" ht="30.75" customHeight="1" x14ac:dyDescent="0.3">
      <c r="A38" s="49">
        <v>31</v>
      </c>
      <c r="B38" s="50" t="s">
        <v>73</v>
      </c>
      <c r="C38" s="50" t="s">
        <v>74</v>
      </c>
      <c r="D38" s="51">
        <v>45901</v>
      </c>
      <c r="E38" s="52">
        <v>238</v>
      </c>
      <c r="F38" s="52">
        <v>228</v>
      </c>
      <c r="G38" s="53">
        <f t="shared" si="1"/>
        <v>0.95798319327731096</v>
      </c>
      <c r="H38" s="52">
        <v>7139</v>
      </c>
      <c r="I38" s="52">
        <v>6862</v>
      </c>
      <c r="J38" s="52">
        <v>5906</v>
      </c>
      <c r="K38" s="52">
        <v>4527</v>
      </c>
      <c r="L38" s="54">
        <f t="shared" si="3"/>
        <v>24434</v>
      </c>
      <c r="M38" s="52">
        <v>6887</v>
      </c>
      <c r="N38" s="52">
        <v>6782</v>
      </c>
      <c r="O38" s="52">
        <v>5823</v>
      </c>
      <c r="P38" s="52">
        <v>4495</v>
      </c>
      <c r="Q38" s="54">
        <f t="shared" si="5"/>
        <v>23987</v>
      </c>
      <c r="R38" s="52">
        <v>475</v>
      </c>
      <c r="S38" s="52">
        <v>82</v>
      </c>
      <c r="T38" s="52">
        <v>15</v>
      </c>
      <c r="U38" s="52">
        <v>2</v>
      </c>
      <c r="V38" s="55">
        <f t="shared" si="7"/>
        <v>574</v>
      </c>
      <c r="W38" s="52">
        <v>1435</v>
      </c>
      <c r="X38" s="52">
        <v>539</v>
      </c>
      <c r="Y38" s="52">
        <v>122</v>
      </c>
      <c r="Z38" s="52">
        <v>14</v>
      </c>
      <c r="AA38" s="55">
        <f t="shared" si="9"/>
        <v>2110</v>
      </c>
      <c r="AB38" s="52">
        <v>3751</v>
      </c>
      <c r="AC38" s="52">
        <v>2611</v>
      </c>
      <c r="AD38" s="52">
        <v>1111</v>
      </c>
      <c r="AE38" s="52">
        <v>332</v>
      </c>
      <c r="AF38" s="55">
        <f t="shared" si="11"/>
        <v>7805</v>
      </c>
      <c r="AG38" s="52">
        <v>1226</v>
      </c>
      <c r="AH38" s="52">
        <v>3550</v>
      </c>
      <c r="AI38" s="52">
        <v>4575</v>
      </c>
      <c r="AJ38" s="52">
        <v>4147</v>
      </c>
      <c r="AK38" s="55">
        <f t="shared" si="13"/>
        <v>13498</v>
      </c>
      <c r="AL38" s="56">
        <f t="shared" si="14"/>
        <v>0.54464933933497894</v>
      </c>
      <c r="AM38" s="56">
        <f t="shared" si="15"/>
        <v>0.3849896785608965</v>
      </c>
      <c r="AN38" s="56">
        <f t="shared" si="16"/>
        <v>0.1907951227889404</v>
      </c>
      <c r="AO38" s="56">
        <f t="shared" si="17"/>
        <v>7.3859844271412678E-2</v>
      </c>
      <c r="AP38" s="57">
        <f t="shared" si="18"/>
        <v>0.32538458331596282</v>
      </c>
      <c r="AQ38" s="56">
        <f t="shared" si="19"/>
        <v>0.17801655292580223</v>
      </c>
      <c r="AR38" s="56">
        <f t="shared" si="20"/>
        <v>0.52344441167797107</v>
      </c>
      <c r="AS38" s="56">
        <f t="shared" si="21"/>
        <v>0.78567748583204533</v>
      </c>
      <c r="AT38" s="56">
        <f t="shared" si="22"/>
        <v>0.92258064516129035</v>
      </c>
      <c r="AU38" s="57">
        <f t="shared" si="23"/>
        <v>0.56272147413182139</v>
      </c>
      <c r="AV38" s="52">
        <v>2387</v>
      </c>
      <c r="AW38" s="52">
        <v>4309</v>
      </c>
      <c r="AX38" s="52">
        <v>4946</v>
      </c>
      <c r="AY38" s="52">
        <v>4026</v>
      </c>
      <c r="AZ38" s="58">
        <f t="shared" si="25"/>
        <v>15668</v>
      </c>
      <c r="BA38" s="52">
        <v>1746</v>
      </c>
      <c r="BB38" s="52">
        <v>3278</v>
      </c>
      <c r="BC38" s="52">
        <v>4188</v>
      </c>
      <c r="BD38" s="52">
        <v>3777</v>
      </c>
      <c r="BE38" s="59">
        <f t="shared" si="27"/>
        <v>12989</v>
      </c>
      <c r="BF38" s="52">
        <v>836</v>
      </c>
      <c r="BG38" s="52">
        <v>2037</v>
      </c>
      <c r="BH38" s="52">
        <v>3432</v>
      </c>
      <c r="BI38" s="52">
        <v>3470</v>
      </c>
      <c r="BJ38" s="60">
        <f t="shared" si="29"/>
        <v>9775</v>
      </c>
      <c r="BK38" s="52">
        <v>511</v>
      </c>
      <c r="BL38" s="52">
        <v>1145</v>
      </c>
      <c r="BM38" s="52">
        <v>2422</v>
      </c>
      <c r="BN38" s="52">
        <v>2811</v>
      </c>
      <c r="BO38" s="55">
        <f t="shared" si="31"/>
        <v>6889</v>
      </c>
      <c r="BP38" s="61"/>
      <c r="BQ38" s="62">
        <f t="shared" si="32"/>
        <v>0.34659503412225934</v>
      </c>
      <c r="BR38" s="62">
        <f t="shared" si="33"/>
        <v>0.63535830138602178</v>
      </c>
      <c r="BS38" s="62">
        <f t="shared" si="34"/>
        <v>0.84939034861755114</v>
      </c>
      <c r="BT38" s="62">
        <f t="shared" si="35"/>
        <v>0.89566184649610681</v>
      </c>
      <c r="BU38" s="63">
        <f t="shared" si="36"/>
        <v>0.65318714303581105</v>
      </c>
      <c r="BV38" s="62">
        <f t="shared" si="37"/>
        <v>0.25352112676056338</v>
      </c>
      <c r="BW38" s="62">
        <f t="shared" si="38"/>
        <v>0.48333824830433503</v>
      </c>
      <c r="BX38" s="62">
        <f t="shared" si="39"/>
        <v>0.71921689850592474</v>
      </c>
      <c r="BY38" s="62">
        <f t="shared" si="40"/>
        <v>0.84026696329254724</v>
      </c>
      <c r="BZ38" s="64">
        <f t="shared" si="41"/>
        <v>0.54150164672530954</v>
      </c>
      <c r="CA38" s="62">
        <f t="shared" si="42"/>
        <v>0.12138812254973137</v>
      </c>
      <c r="CB38" s="62">
        <f t="shared" si="43"/>
        <v>0.30035387791212032</v>
      </c>
      <c r="CC38" s="62">
        <f t="shared" si="44"/>
        <v>0.58938691396187537</v>
      </c>
      <c r="CD38" s="62">
        <f t="shared" si="45"/>
        <v>0.77196885428253614</v>
      </c>
      <c r="CE38" s="65">
        <f t="shared" si="46"/>
        <v>0.40751240255138199</v>
      </c>
      <c r="CF38" s="62">
        <f t="shared" si="47"/>
        <v>7.4197763903005656E-2</v>
      </c>
      <c r="CG38" s="62">
        <f t="shared" si="48"/>
        <v>0.16882925390740194</v>
      </c>
      <c r="CH38" s="62">
        <f t="shared" si="49"/>
        <v>0.41593680233556585</v>
      </c>
      <c r="CI38" s="62">
        <f t="shared" si="50"/>
        <v>0.62536151279199115</v>
      </c>
      <c r="CJ38" s="66">
        <f t="shared" si="51"/>
        <v>0.28719723183391005</v>
      </c>
      <c r="CK38" s="62">
        <f t="shared" si="100"/>
        <v>0.19892551183388996</v>
      </c>
      <c r="CL38" s="62">
        <f t="shared" si="100"/>
        <v>0.3969699203774697</v>
      </c>
      <c r="CM38" s="62">
        <f t="shared" si="100"/>
        <v>0.64348274085522927</v>
      </c>
      <c r="CN38" s="62">
        <f t="shared" si="100"/>
        <v>0.78331479421579542</v>
      </c>
      <c r="CO38" s="67">
        <f t="shared" si="53"/>
        <v>0.47234960603660314</v>
      </c>
      <c r="CP38" s="48"/>
    </row>
    <row r="39" spans="1:94" ht="30.75" customHeight="1" x14ac:dyDescent="0.3">
      <c r="A39" s="49">
        <v>32</v>
      </c>
      <c r="B39" s="50" t="s">
        <v>73</v>
      </c>
      <c r="C39" s="50" t="s">
        <v>75</v>
      </c>
      <c r="D39" s="51">
        <v>45901</v>
      </c>
      <c r="E39" s="52">
        <v>155</v>
      </c>
      <c r="F39" s="52">
        <v>152</v>
      </c>
      <c r="G39" s="53">
        <f t="shared" si="1"/>
        <v>0.98064516129032253</v>
      </c>
      <c r="H39" s="52">
        <v>8081</v>
      </c>
      <c r="I39" s="52">
        <v>8172</v>
      </c>
      <c r="J39" s="52">
        <v>6742</v>
      </c>
      <c r="K39" s="52">
        <v>5221</v>
      </c>
      <c r="L39" s="54">
        <f t="shared" si="3"/>
        <v>28216</v>
      </c>
      <c r="M39" s="52">
        <v>7857</v>
      </c>
      <c r="N39" s="52">
        <v>7917</v>
      </c>
      <c r="O39" s="52">
        <v>6581</v>
      </c>
      <c r="P39" s="52">
        <v>5123</v>
      </c>
      <c r="Q39" s="54">
        <f t="shared" si="5"/>
        <v>27478</v>
      </c>
      <c r="R39" s="52">
        <v>710</v>
      </c>
      <c r="S39" s="52">
        <v>102</v>
      </c>
      <c r="T39" s="52">
        <v>18</v>
      </c>
      <c r="U39" s="52">
        <v>16</v>
      </c>
      <c r="V39" s="55">
        <f t="shared" si="7"/>
        <v>846</v>
      </c>
      <c r="W39" s="52">
        <v>1609</v>
      </c>
      <c r="X39" s="52">
        <v>507</v>
      </c>
      <c r="Y39" s="52">
        <v>62</v>
      </c>
      <c r="Z39" s="52">
        <v>10</v>
      </c>
      <c r="AA39" s="55">
        <f t="shared" si="9"/>
        <v>2188</v>
      </c>
      <c r="AB39" s="52">
        <v>4193</v>
      </c>
      <c r="AC39" s="52">
        <v>3082</v>
      </c>
      <c r="AD39" s="52">
        <v>1165</v>
      </c>
      <c r="AE39" s="52">
        <v>285</v>
      </c>
      <c r="AF39" s="55">
        <f t="shared" si="11"/>
        <v>8725</v>
      </c>
      <c r="AG39" s="52">
        <v>1345</v>
      </c>
      <c r="AH39" s="52">
        <v>4226</v>
      </c>
      <c r="AI39" s="52">
        <v>5336</v>
      </c>
      <c r="AJ39" s="52">
        <v>4812</v>
      </c>
      <c r="AK39" s="55">
        <f t="shared" si="13"/>
        <v>15719</v>
      </c>
      <c r="AL39" s="56">
        <f t="shared" si="14"/>
        <v>0.53366424844088078</v>
      </c>
      <c r="AM39" s="56">
        <f t="shared" si="15"/>
        <v>0.38928887204749274</v>
      </c>
      <c r="AN39" s="56">
        <f t="shared" si="16"/>
        <v>0.17702476827229904</v>
      </c>
      <c r="AO39" s="56">
        <f t="shared" si="17"/>
        <v>5.5631465937926998E-2</v>
      </c>
      <c r="AP39" s="57">
        <f t="shared" si="18"/>
        <v>0.31752674867166458</v>
      </c>
      <c r="AQ39" s="56">
        <f t="shared" si="19"/>
        <v>0.17118493063510246</v>
      </c>
      <c r="AR39" s="56">
        <f t="shared" si="20"/>
        <v>0.53378805102943039</v>
      </c>
      <c r="AS39" s="56">
        <f t="shared" si="21"/>
        <v>0.81081902446436716</v>
      </c>
      <c r="AT39" s="56">
        <f t="shared" si="22"/>
        <v>0.93929338278352525</v>
      </c>
      <c r="AU39" s="57">
        <f t="shared" si="23"/>
        <v>0.57205764611689347</v>
      </c>
      <c r="AV39" s="52">
        <v>3286</v>
      </c>
      <c r="AW39" s="52">
        <v>4772</v>
      </c>
      <c r="AX39" s="52">
        <v>4883</v>
      </c>
      <c r="AY39" s="52">
        <v>4097</v>
      </c>
      <c r="AZ39" s="58">
        <f t="shared" si="25"/>
        <v>17038</v>
      </c>
      <c r="BA39" s="52">
        <v>2640</v>
      </c>
      <c r="BB39" s="52">
        <v>3943</v>
      </c>
      <c r="BC39" s="52">
        <v>4212</v>
      </c>
      <c r="BD39" s="52">
        <v>3928</v>
      </c>
      <c r="BE39" s="59">
        <f t="shared" si="27"/>
        <v>14723</v>
      </c>
      <c r="BF39" s="52">
        <v>1271</v>
      </c>
      <c r="BG39" s="52">
        <v>2797</v>
      </c>
      <c r="BH39" s="52">
        <v>3604</v>
      </c>
      <c r="BI39" s="52">
        <v>3390</v>
      </c>
      <c r="BJ39" s="60">
        <f t="shared" si="29"/>
        <v>11062</v>
      </c>
      <c r="BK39" s="52">
        <v>1025</v>
      </c>
      <c r="BL39" s="52">
        <v>2078</v>
      </c>
      <c r="BM39" s="52">
        <v>2751</v>
      </c>
      <c r="BN39" s="52">
        <v>3041</v>
      </c>
      <c r="BO39" s="55">
        <f t="shared" si="31"/>
        <v>8895</v>
      </c>
      <c r="BP39" s="61"/>
      <c r="BQ39" s="62">
        <f t="shared" si="32"/>
        <v>0.41822578592338044</v>
      </c>
      <c r="BR39" s="62">
        <f t="shared" si="33"/>
        <v>0.60275356827080961</v>
      </c>
      <c r="BS39" s="62">
        <f t="shared" si="34"/>
        <v>0.7419845008357393</v>
      </c>
      <c r="BT39" s="62">
        <f t="shared" si="35"/>
        <v>0.79972672262346278</v>
      </c>
      <c r="BU39" s="63">
        <f t="shared" si="36"/>
        <v>0.62005968411092516</v>
      </c>
      <c r="BV39" s="62">
        <f t="shared" si="37"/>
        <v>0.33600610920198548</v>
      </c>
      <c r="BW39" s="62">
        <f t="shared" si="38"/>
        <v>0.49804218769736008</v>
      </c>
      <c r="BX39" s="62">
        <f t="shared" si="39"/>
        <v>0.64002431241452662</v>
      </c>
      <c r="BY39" s="62">
        <f t="shared" si="40"/>
        <v>0.76673823931290264</v>
      </c>
      <c r="BZ39" s="64">
        <f t="shared" si="41"/>
        <v>0.53581046655506226</v>
      </c>
      <c r="CA39" s="62">
        <f t="shared" si="42"/>
        <v>0.1617665775741377</v>
      </c>
      <c r="CB39" s="62">
        <f t="shared" si="43"/>
        <v>0.35329038777314642</v>
      </c>
      <c r="CC39" s="62">
        <f t="shared" si="44"/>
        <v>0.54763713721318952</v>
      </c>
      <c r="CD39" s="62">
        <f t="shared" si="45"/>
        <v>0.66172164747218432</v>
      </c>
      <c r="CE39" s="65">
        <f t="shared" si="46"/>
        <v>0.40257660673993739</v>
      </c>
      <c r="CF39" s="62">
        <f t="shared" si="47"/>
        <v>0.13045691739849816</v>
      </c>
      <c r="CG39" s="62">
        <f t="shared" si="48"/>
        <v>0.26247315902488316</v>
      </c>
      <c r="CH39" s="62">
        <f t="shared" si="49"/>
        <v>0.41802157726789241</v>
      </c>
      <c r="CI39" s="62">
        <f t="shared" si="50"/>
        <v>0.59359750146398593</v>
      </c>
      <c r="CJ39" s="66">
        <f t="shared" si="51"/>
        <v>0.32371351626755951</v>
      </c>
      <c r="CK39" s="62">
        <f t="shared" si="100"/>
        <v>0.26161384752450045</v>
      </c>
      <c r="CL39" s="62">
        <f t="shared" si="100"/>
        <v>0.42913982569154979</v>
      </c>
      <c r="CM39" s="62">
        <f t="shared" si="100"/>
        <v>0.58691688193283698</v>
      </c>
      <c r="CN39" s="62">
        <f t="shared" si="100"/>
        <v>0.70544602771813392</v>
      </c>
      <c r="CO39" s="67">
        <f t="shared" si="53"/>
        <v>0.47054006841837109</v>
      </c>
      <c r="CP39" s="48"/>
    </row>
    <row r="40" spans="1:94" ht="30.75" customHeight="1" x14ac:dyDescent="0.3">
      <c r="A40" s="49">
        <v>33</v>
      </c>
      <c r="B40" s="50" t="s">
        <v>73</v>
      </c>
      <c r="C40" s="50" t="s">
        <v>76</v>
      </c>
      <c r="D40" s="51">
        <v>45901</v>
      </c>
      <c r="E40" s="52">
        <v>93</v>
      </c>
      <c r="F40" s="52">
        <v>93</v>
      </c>
      <c r="G40" s="53">
        <f t="shared" si="1"/>
        <v>1</v>
      </c>
      <c r="H40" s="52">
        <v>9343</v>
      </c>
      <c r="I40" s="52">
        <v>9143</v>
      </c>
      <c r="J40" s="52">
        <v>8013</v>
      </c>
      <c r="K40" s="52">
        <v>6800</v>
      </c>
      <c r="L40" s="54">
        <f t="shared" si="3"/>
        <v>33299</v>
      </c>
      <c r="M40" s="52">
        <v>8679</v>
      </c>
      <c r="N40" s="52">
        <v>8445</v>
      </c>
      <c r="O40" s="52">
        <v>7487</v>
      </c>
      <c r="P40" s="52">
        <v>6432</v>
      </c>
      <c r="Q40" s="54">
        <f t="shared" si="5"/>
        <v>31043</v>
      </c>
      <c r="R40" s="52">
        <v>207</v>
      </c>
      <c r="S40" s="52">
        <v>20</v>
      </c>
      <c r="T40" s="52">
        <v>2</v>
      </c>
      <c r="U40" s="52">
        <v>0</v>
      </c>
      <c r="V40" s="55">
        <f t="shared" si="7"/>
        <v>229</v>
      </c>
      <c r="W40" s="52">
        <v>1343</v>
      </c>
      <c r="X40" s="52">
        <v>352</v>
      </c>
      <c r="Y40" s="52">
        <v>140</v>
      </c>
      <c r="Z40" s="52">
        <v>9</v>
      </c>
      <c r="AA40" s="55">
        <f t="shared" si="9"/>
        <v>1844</v>
      </c>
      <c r="AB40" s="52">
        <v>3763</v>
      </c>
      <c r="AC40" s="52">
        <v>2768</v>
      </c>
      <c r="AD40" s="52">
        <v>1033</v>
      </c>
      <c r="AE40" s="52">
        <v>393</v>
      </c>
      <c r="AF40" s="55">
        <f t="shared" si="11"/>
        <v>7957</v>
      </c>
      <c r="AG40" s="52">
        <v>3366</v>
      </c>
      <c r="AH40" s="52">
        <v>5305</v>
      </c>
      <c r="AI40" s="52">
        <v>6312</v>
      </c>
      <c r="AJ40" s="52">
        <v>6030</v>
      </c>
      <c r="AK40" s="55">
        <f t="shared" si="13"/>
        <v>21013</v>
      </c>
      <c r="AL40" s="56">
        <f t="shared" si="14"/>
        <v>0.43357529669316741</v>
      </c>
      <c r="AM40" s="56">
        <f t="shared" si="15"/>
        <v>0.32776791000592065</v>
      </c>
      <c r="AN40" s="56">
        <f t="shared" si="16"/>
        <v>0.13797248564177908</v>
      </c>
      <c r="AO40" s="56">
        <f t="shared" si="17"/>
        <v>6.1100746268656719E-2</v>
      </c>
      <c r="AP40" s="57">
        <f t="shared" si="18"/>
        <v>0.25632187610733498</v>
      </c>
      <c r="AQ40" s="56">
        <f t="shared" si="19"/>
        <v>0.38783269961977185</v>
      </c>
      <c r="AR40" s="56">
        <f t="shared" si="20"/>
        <v>0.62818235642391951</v>
      </c>
      <c r="AS40" s="56">
        <f t="shared" si="21"/>
        <v>0.84306130626419129</v>
      </c>
      <c r="AT40" s="56">
        <f t="shared" si="22"/>
        <v>0.9375</v>
      </c>
      <c r="AU40" s="57">
        <f t="shared" si="23"/>
        <v>0.67689978417034435</v>
      </c>
      <c r="AV40" s="52">
        <v>4761</v>
      </c>
      <c r="AW40" s="52">
        <v>5732</v>
      </c>
      <c r="AX40" s="52">
        <v>5547</v>
      </c>
      <c r="AY40" s="52">
        <v>5242</v>
      </c>
      <c r="AZ40" s="58">
        <f t="shared" si="25"/>
        <v>21282</v>
      </c>
      <c r="BA40" s="52">
        <v>3449</v>
      </c>
      <c r="BB40" s="52">
        <v>4543</v>
      </c>
      <c r="BC40" s="52">
        <v>4744</v>
      </c>
      <c r="BD40" s="52">
        <v>4758</v>
      </c>
      <c r="BE40" s="59">
        <f t="shared" si="27"/>
        <v>17494</v>
      </c>
      <c r="BF40" s="52">
        <v>1620</v>
      </c>
      <c r="BG40" s="52">
        <v>3470</v>
      </c>
      <c r="BH40" s="52">
        <v>4422</v>
      </c>
      <c r="BI40" s="52">
        <v>4519</v>
      </c>
      <c r="BJ40" s="60">
        <f t="shared" si="29"/>
        <v>14031</v>
      </c>
      <c r="BK40" s="52">
        <v>731</v>
      </c>
      <c r="BL40" s="52">
        <v>2135</v>
      </c>
      <c r="BM40" s="52">
        <v>3229</v>
      </c>
      <c r="BN40" s="52">
        <v>3829</v>
      </c>
      <c r="BO40" s="55">
        <f t="shared" si="31"/>
        <v>9924</v>
      </c>
      <c r="BP40" s="61"/>
      <c r="BQ40" s="62">
        <f t="shared" si="32"/>
        <v>0.54856550293812656</v>
      </c>
      <c r="BR40" s="62">
        <f t="shared" si="33"/>
        <v>0.67874481941977505</v>
      </c>
      <c r="BS40" s="62">
        <f t="shared" si="34"/>
        <v>0.74088419927874982</v>
      </c>
      <c r="BT40" s="62">
        <f t="shared" si="35"/>
        <v>0.81498756218905477</v>
      </c>
      <c r="BU40" s="63">
        <f t="shared" si="36"/>
        <v>0.6855651837773411</v>
      </c>
      <c r="BV40" s="62">
        <f t="shared" si="37"/>
        <v>0.3973960133655951</v>
      </c>
      <c r="BW40" s="62">
        <f t="shared" si="38"/>
        <v>0.53795145056246296</v>
      </c>
      <c r="BX40" s="62">
        <f t="shared" si="39"/>
        <v>0.63363162815546947</v>
      </c>
      <c r="BY40" s="62">
        <f t="shared" si="40"/>
        <v>0.73973880597014929</v>
      </c>
      <c r="BZ40" s="64">
        <f t="shared" si="41"/>
        <v>0.5635408948877364</v>
      </c>
      <c r="CA40" s="62">
        <f t="shared" si="42"/>
        <v>0.18665744901486347</v>
      </c>
      <c r="CB40" s="62">
        <f t="shared" si="43"/>
        <v>0.41089402013025461</v>
      </c>
      <c r="CC40" s="62">
        <f t="shared" si="44"/>
        <v>0.59062374782957128</v>
      </c>
      <c r="CD40" s="62">
        <f t="shared" si="45"/>
        <v>0.70258084577114432</v>
      </c>
      <c r="CE40" s="65">
        <f t="shared" si="46"/>
        <v>0.45198595496569277</v>
      </c>
      <c r="CF40" s="62">
        <f t="shared" si="47"/>
        <v>8.4226293351768636E-2</v>
      </c>
      <c r="CG40" s="62">
        <f t="shared" si="48"/>
        <v>0.2528123149792777</v>
      </c>
      <c r="CH40" s="62">
        <f t="shared" si="49"/>
        <v>0.43128088687057564</v>
      </c>
      <c r="CI40" s="62">
        <f t="shared" si="50"/>
        <v>0.59530472636815923</v>
      </c>
      <c r="CJ40" s="66">
        <f t="shared" si="51"/>
        <v>0.31968559739715879</v>
      </c>
      <c r="CK40" s="62">
        <f t="shared" si="100"/>
        <v>0.30421131466758838</v>
      </c>
      <c r="CL40" s="62">
        <f t="shared" si="100"/>
        <v>0.47010065127294265</v>
      </c>
      <c r="CM40" s="62">
        <f t="shared" si="100"/>
        <v>0.59910511553359158</v>
      </c>
      <c r="CN40" s="62">
        <f t="shared" si="100"/>
        <v>0.71315298507462699</v>
      </c>
      <c r="CO40" s="67">
        <f t="shared" si="53"/>
        <v>0.50519440775698232</v>
      </c>
      <c r="CP40" s="48"/>
    </row>
    <row r="41" spans="1:94" ht="30.75" customHeight="1" x14ac:dyDescent="0.3">
      <c r="A41" s="49">
        <v>34</v>
      </c>
      <c r="B41" s="50" t="s">
        <v>73</v>
      </c>
      <c r="C41" s="50" t="s">
        <v>77</v>
      </c>
      <c r="D41" s="51">
        <v>45901</v>
      </c>
      <c r="E41" s="52">
        <v>157</v>
      </c>
      <c r="F41" s="52">
        <v>157</v>
      </c>
      <c r="G41" s="53">
        <f t="shared" si="1"/>
        <v>1</v>
      </c>
      <c r="H41" s="52">
        <v>4072</v>
      </c>
      <c r="I41" s="52">
        <v>4042</v>
      </c>
      <c r="J41" s="52">
        <v>3307</v>
      </c>
      <c r="K41" s="52">
        <v>2514</v>
      </c>
      <c r="L41" s="54">
        <f t="shared" si="3"/>
        <v>13935</v>
      </c>
      <c r="M41" s="52">
        <v>4024</v>
      </c>
      <c r="N41" s="52">
        <v>3993</v>
      </c>
      <c r="O41" s="52">
        <v>3267</v>
      </c>
      <c r="P41" s="52">
        <v>2485</v>
      </c>
      <c r="Q41" s="54">
        <f t="shared" si="5"/>
        <v>13769</v>
      </c>
      <c r="R41" s="52">
        <v>132</v>
      </c>
      <c r="S41" s="52">
        <v>6</v>
      </c>
      <c r="T41" s="52">
        <v>6</v>
      </c>
      <c r="U41" s="52">
        <v>0</v>
      </c>
      <c r="V41" s="55">
        <f t="shared" si="7"/>
        <v>144</v>
      </c>
      <c r="W41" s="52">
        <v>1217</v>
      </c>
      <c r="X41" s="52">
        <v>212</v>
      </c>
      <c r="Y41" s="52">
        <v>32</v>
      </c>
      <c r="Z41" s="52">
        <v>1</v>
      </c>
      <c r="AA41" s="55">
        <f t="shared" si="9"/>
        <v>1462</v>
      </c>
      <c r="AB41" s="52">
        <v>2166</v>
      </c>
      <c r="AC41" s="52">
        <v>1360</v>
      </c>
      <c r="AD41" s="52">
        <v>478</v>
      </c>
      <c r="AE41" s="52">
        <v>98</v>
      </c>
      <c r="AF41" s="55">
        <f t="shared" si="11"/>
        <v>4102</v>
      </c>
      <c r="AG41" s="52">
        <v>509</v>
      </c>
      <c r="AH41" s="52">
        <v>2415</v>
      </c>
      <c r="AI41" s="52">
        <v>2751</v>
      </c>
      <c r="AJ41" s="52">
        <v>2386</v>
      </c>
      <c r="AK41" s="55">
        <f t="shared" si="13"/>
        <v>8061</v>
      </c>
      <c r="AL41" s="56">
        <f t="shared" si="14"/>
        <v>0.53827037773359843</v>
      </c>
      <c r="AM41" s="56">
        <f t="shared" si="15"/>
        <v>0.34059604307538194</v>
      </c>
      <c r="AN41" s="56">
        <f t="shared" si="16"/>
        <v>0.14631160085705541</v>
      </c>
      <c r="AO41" s="56">
        <f t="shared" si="17"/>
        <v>3.9436619718309862E-2</v>
      </c>
      <c r="AP41" s="57">
        <f t="shared" si="18"/>
        <v>0.29791560752414847</v>
      </c>
      <c r="AQ41" s="56">
        <f t="shared" si="19"/>
        <v>0.1264910536779324</v>
      </c>
      <c r="AR41" s="56">
        <f t="shared" si="20"/>
        <v>0.60480841472577007</v>
      </c>
      <c r="AS41" s="56">
        <f t="shared" si="21"/>
        <v>0.84205693296602391</v>
      </c>
      <c r="AT41" s="56">
        <f t="shared" si="22"/>
        <v>0.96016096579476862</v>
      </c>
      <c r="AU41" s="57">
        <f t="shared" si="23"/>
        <v>0.58544556612680665</v>
      </c>
      <c r="AV41" s="52">
        <v>698</v>
      </c>
      <c r="AW41" s="52">
        <v>2307</v>
      </c>
      <c r="AX41" s="52">
        <v>2682</v>
      </c>
      <c r="AY41" s="52">
        <v>2267</v>
      </c>
      <c r="AZ41" s="58">
        <f t="shared" si="25"/>
        <v>7954</v>
      </c>
      <c r="BA41" s="52">
        <v>388</v>
      </c>
      <c r="BB41" s="52">
        <v>1556</v>
      </c>
      <c r="BC41" s="52">
        <v>2111</v>
      </c>
      <c r="BD41" s="52">
        <v>2084</v>
      </c>
      <c r="BE41" s="59">
        <f t="shared" si="27"/>
        <v>6139</v>
      </c>
      <c r="BF41" s="52">
        <v>175</v>
      </c>
      <c r="BG41" s="52">
        <v>738</v>
      </c>
      <c r="BH41" s="52">
        <v>1653</v>
      </c>
      <c r="BI41" s="52">
        <v>1842</v>
      </c>
      <c r="BJ41" s="60">
        <f t="shared" si="29"/>
        <v>4408</v>
      </c>
      <c r="BK41" s="52">
        <v>51</v>
      </c>
      <c r="BL41" s="52">
        <v>238</v>
      </c>
      <c r="BM41" s="52">
        <v>859</v>
      </c>
      <c r="BN41" s="52">
        <v>1415</v>
      </c>
      <c r="BO41" s="55">
        <f t="shared" si="31"/>
        <v>2563</v>
      </c>
      <c r="BP41" s="61"/>
      <c r="BQ41" s="62">
        <f t="shared" si="32"/>
        <v>0.17345924453280318</v>
      </c>
      <c r="BR41" s="62">
        <f t="shared" si="33"/>
        <v>0.57776108189331332</v>
      </c>
      <c r="BS41" s="62">
        <f t="shared" si="34"/>
        <v>0.82093663911845727</v>
      </c>
      <c r="BT41" s="62">
        <f t="shared" si="35"/>
        <v>0.9122736418511066</v>
      </c>
      <c r="BU41" s="63">
        <f t="shared" si="36"/>
        <v>0.57767448616457262</v>
      </c>
      <c r="BV41" s="62">
        <f t="shared" si="37"/>
        <v>9.6421471172962223E-2</v>
      </c>
      <c r="BW41" s="62">
        <f t="shared" si="38"/>
        <v>0.38968194340095169</v>
      </c>
      <c r="BX41" s="62">
        <f t="shared" si="39"/>
        <v>0.64615855524946431</v>
      </c>
      <c r="BY41" s="62">
        <f t="shared" si="40"/>
        <v>0.83863179074446681</v>
      </c>
      <c r="BZ41" s="64">
        <f t="shared" si="41"/>
        <v>0.44585663446873414</v>
      </c>
      <c r="CA41" s="62">
        <f t="shared" si="42"/>
        <v>4.3489065606361829E-2</v>
      </c>
      <c r="CB41" s="62">
        <f t="shared" si="43"/>
        <v>0.18482344102178813</v>
      </c>
      <c r="CC41" s="62">
        <f t="shared" si="44"/>
        <v>0.50596877869605139</v>
      </c>
      <c r="CD41" s="62">
        <f t="shared" si="45"/>
        <v>0.74124748490945669</v>
      </c>
      <c r="CE41" s="65">
        <f t="shared" si="46"/>
        <v>0.32013944367782698</v>
      </c>
      <c r="CF41" s="62">
        <f t="shared" si="47"/>
        <v>1.2673956262425448E-2</v>
      </c>
      <c r="CG41" s="62">
        <f t="shared" si="48"/>
        <v>5.9604307538191834E-2</v>
      </c>
      <c r="CH41" s="62">
        <f t="shared" si="49"/>
        <v>0.26293235384144475</v>
      </c>
      <c r="CI41" s="62">
        <f t="shared" si="50"/>
        <v>0.56941649899396374</v>
      </c>
      <c r="CJ41" s="66">
        <f t="shared" si="51"/>
        <v>0.1861427845159416</v>
      </c>
      <c r="CK41" s="62">
        <f t="shared" si="100"/>
        <v>8.1510934393638171E-2</v>
      </c>
      <c r="CL41" s="62">
        <f t="shared" si="100"/>
        <v>0.30296769346356123</v>
      </c>
      <c r="CM41" s="62">
        <f t="shared" si="100"/>
        <v>0.55899908172635437</v>
      </c>
      <c r="CN41" s="62">
        <f t="shared" si="100"/>
        <v>0.76539235412474849</v>
      </c>
      <c r="CO41" s="67">
        <f t="shared" si="53"/>
        <v>0.38245333720676883</v>
      </c>
      <c r="CP41" s="48"/>
    </row>
    <row r="42" spans="1:94" ht="30.75" customHeight="1" x14ac:dyDescent="0.3">
      <c r="A42" s="49">
        <v>35</v>
      </c>
      <c r="B42" s="50" t="s">
        <v>73</v>
      </c>
      <c r="C42" s="50" t="s">
        <v>78</v>
      </c>
      <c r="D42" s="51">
        <v>45901</v>
      </c>
      <c r="E42" s="52">
        <v>287</v>
      </c>
      <c r="F42" s="52">
        <v>256</v>
      </c>
      <c r="G42" s="53">
        <f t="shared" si="1"/>
        <v>0.89198606271777003</v>
      </c>
      <c r="H42" s="52">
        <v>6227</v>
      </c>
      <c r="I42" s="52">
        <v>5626</v>
      </c>
      <c r="J42" s="52">
        <v>4370</v>
      </c>
      <c r="K42" s="52">
        <v>3015</v>
      </c>
      <c r="L42" s="54">
        <f t="shared" si="3"/>
        <v>19238</v>
      </c>
      <c r="M42" s="52">
        <v>6009</v>
      </c>
      <c r="N42" s="52">
        <v>5486</v>
      </c>
      <c r="O42" s="52">
        <v>4285</v>
      </c>
      <c r="P42" s="52">
        <v>2967</v>
      </c>
      <c r="Q42" s="54">
        <f t="shared" si="5"/>
        <v>18747</v>
      </c>
      <c r="R42" s="52">
        <v>393</v>
      </c>
      <c r="S42" s="52">
        <v>75</v>
      </c>
      <c r="T42" s="52">
        <v>30</v>
      </c>
      <c r="U42" s="52">
        <v>0</v>
      </c>
      <c r="V42" s="55">
        <f t="shared" si="7"/>
        <v>498</v>
      </c>
      <c r="W42" s="52">
        <v>1333</v>
      </c>
      <c r="X42" s="52">
        <v>440</v>
      </c>
      <c r="Y42" s="52">
        <v>108</v>
      </c>
      <c r="Z42" s="52">
        <v>23</v>
      </c>
      <c r="AA42" s="55">
        <f t="shared" si="9"/>
        <v>1904</v>
      </c>
      <c r="AB42" s="52">
        <v>2784</v>
      </c>
      <c r="AC42" s="52">
        <v>2011</v>
      </c>
      <c r="AD42" s="52">
        <v>992</v>
      </c>
      <c r="AE42" s="52">
        <v>338</v>
      </c>
      <c r="AF42" s="55">
        <f t="shared" si="11"/>
        <v>6125</v>
      </c>
      <c r="AG42" s="52">
        <v>1499</v>
      </c>
      <c r="AH42" s="52">
        <v>2960</v>
      </c>
      <c r="AI42" s="52">
        <v>3155</v>
      </c>
      <c r="AJ42" s="52">
        <v>2606</v>
      </c>
      <c r="AK42" s="55">
        <f t="shared" si="13"/>
        <v>10220</v>
      </c>
      <c r="AL42" s="56">
        <f t="shared" si="14"/>
        <v>0.46330504243634546</v>
      </c>
      <c r="AM42" s="56">
        <f t="shared" si="15"/>
        <v>0.36656944950783815</v>
      </c>
      <c r="AN42" s="56">
        <f t="shared" si="16"/>
        <v>0.23150525087514587</v>
      </c>
      <c r="AO42" s="56">
        <f t="shared" si="17"/>
        <v>0.11391978429389957</v>
      </c>
      <c r="AP42" s="57">
        <f t="shared" si="18"/>
        <v>0.32671894169733823</v>
      </c>
      <c r="AQ42" s="56">
        <f t="shared" si="19"/>
        <v>0.24945914461640872</v>
      </c>
      <c r="AR42" s="56">
        <f t="shared" si="20"/>
        <v>0.53955523149835949</v>
      </c>
      <c r="AS42" s="56">
        <f t="shared" si="21"/>
        <v>0.73628938156359391</v>
      </c>
      <c r="AT42" s="56">
        <f t="shared" si="22"/>
        <v>0.87832827772160427</v>
      </c>
      <c r="AU42" s="57">
        <f t="shared" si="23"/>
        <v>0.54515389128927294</v>
      </c>
      <c r="AV42" s="52">
        <v>3251</v>
      </c>
      <c r="AW42" s="52">
        <v>3726</v>
      </c>
      <c r="AX42" s="52">
        <v>3378</v>
      </c>
      <c r="AY42" s="52">
        <v>2397</v>
      </c>
      <c r="AZ42" s="58">
        <f t="shared" si="25"/>
        <v>12752</v>
      </c>
      <c r="BA42" s="52">
        <v>2852</v>
      </c>
      <c r="BB42" s="52">
        <v>3248</v>
      </c>
      <c r="BC42" s="52">
        <v>2981</v>
      </c>
      <c r="BD42" s="52">
        <v>2288</v>
      </c>
      <c r="BE42" s="59">
        <f t="shared" si="27"/>
        <v>11369</v>
      </c>
      <c r="BF42" s="52">
        <v>1370</v>
      </c>
      <c r="BG42" s="52">
        <v>1828</v>
      </c>
      <c r="BH42" s="52">
        <v>2236</v>
      </c>
      <c r="BI42" s="52">
        <v>1865</v>
      </c>
      <c r="BJ42" s="60">
        <f t="shared" si="29"/>
        <v>7299</v>
      </c>
      <c r="BK42" s="52">
        <v>771</v>
      </c>
      <c r="BL42" s="52">
        <v>1152</v>
      </c>
      <c r="BM42" s="52">
        <v>1564</v>
      </c>
      <c r="BN42" s="52">
        <v>1469</v>
      </c>
      <c r="BO42" s="55">
        <f t="shared" si="31"/>
        <v>4956</v>
      </c>
      <c r="BP42" s="61"/>
      <c r="BQ42" s="62">
        <f t="shared" si="32"/>
        <v>0.54102180063238481</v>
      </c>
      <c r="BR42" s="62">
        <f t="shared" si="33"/>
        <v>0.67918337586584032</v>
      </c>
      <c r="BS42" s="62">
        <f t="shared" si="34"/>
        <v>0.78833138856476082</v>
      </c>
      <c r="BT42" s="62">
        <f t="shared" si="35"/>
        <v>0.80788675429726997</v>
      </c>
      <c r="BU42" s="63">
        <f t="shared" si="36"/>
        <v>0.68021550114685014</v>
      </c>
      <c r="BV42" s="62">
        <f t="shared" si="37"/>
        <v>0.47462140123148611</v>
      </c>
      <c r="BW42" s="62">
        <f t="shared" si="38"/>
        <v>0.59205249726576736</v>
      </c>
      <c r="BX42" s="62">
        <f t="shared" si="39"/>
        <v>0.69568261376896146</v>
      </c>
      <c r="BY42" s="62">
        <f t="shared" si="40"/>
        <v>0.771149309066397</v>
      </c>
      <c r="BZ42" s="64">
        <f t="shared" si="41"/>
        <v>0.60644369765829198</v>
      </c>
      <c r="CA42" s="62">
        <f t="shared" si="42"/>
        <v>0.22799134631386253</v>
      </c>
      <c r="CB42" s="62">
        <f t="shared" si="43"/>
        <v>0.33321181188479765</v>
      </c>
      <c r="CC42" s="62">
        <f t="shared" si="44"/>
        <v>0.52182030338389729</v>
      </c>
      <c r="CD42" s="62">
        <f t="shared" si="45"/>
        <v>0.62858105830805533</v>
      </c>
      <c r="CE42" s="65">
        <f t="shared" si="46"/>
        <v>0.38934229476716276</v>
      </c>
      <c r="CF42" s="62">
        <f t="shared" si="47"/>
        <v>0.12830753869196207</v>
      </c>
      <c r="CG42" s="62">
        <f t="shared" si="48"/>
        <v>0.20998906306963178</v>
      </c>
      <c r="CH42" s="62">
        <f t="shared" si="49"/>
        <v>0.36499416569428239</v>
      </c>
      <c r="CI42" s="62">
        <f t="shared" si="50"/>
        <v>0.49511290866194807</v>
      </c>
      <c r="CJ42" s="66">
        <f t="shared" si="51"/>
        <v>0.26436229796767485</v>
      </c>
      <c r="CK42" s="62">
        <f t="shared" si="100"/>
        <v>0.34298552171742386</v>
      </c>
      <c r="CL42" s="62">
        <f t="shared" si="100"/>
        <v>0.45360918702150926</v>
      </c>
      <c r="CM42" s="62">
        <f t="shared" si="100"/>
        <v>0.59270711785297547</v>
      </c>
      <c r="CN42" s="62">
        <f t="shared" si="100"/>
        <v>0.67568250758341764</v>
      </c>
      <c r="CO42" s="67">
        <f t="shared" si="53"/>
        <v>0.48509094788499496</v>
      </c>
      <c r="CP42" s="48"/>
    </row>
    <row r="43" spans="1:94" ht="30.75" customHeight="1" x14ac:dyDescent="0.3">
      <c r="A43" s="49">
        <v>36</v>
      </c>
      <c r="B43" s="50" t="s">
        <v>73</v>
      </c>
      <c r="C43" s="50" t="s">
        <v>79</v>
      </c>
      <c r="D43" s="51">
        <v>45901</v>
      </c>
      <c r="E43" s="52">
        <v>175</v>
      </c>
      <c r="F43" s="52">
        <v>175</v>
      </c>
      <c r="G43" s="53">
        <f t="shared" si="1"/>
        <v>1</v>
      </c>
      <c r="H43" s="52">
        <v>5466</v>
      </c>
      <c r="I43" s="52">
        <v>5778</v>
      </c>
      <c r="J43" s="52">
        <v>5285</v>
      </c>
      <c r="K43" s="52">
        <v>4373</v>
      </c>
      <c r="L43" s="54">
        <f t="shared" si="3"/>
        <v>20902</v>
      </c>
      <c r="M43" s="52">
        <v>5364</v>
      </c>
      <c r="N43" s="52">
        <v>5654</v>
      </c>
      <c r="O43" s="52">
        <v>5025</v>
      </c>
      <c r="P43" s="52">
        <v>4046</v>
      </c>
      <c r="Q43" s="54">
        <f t="shared" si="5"/>
        <v>20089</v>
      </c>
      <c r="R43" s="52">
        <v>190</v>
      </c>
      <c r="S43" s="52">
        <v>17</v>
      </c>
      <c r="T43" s="52">
        <v>0</v>
      </c>
      <c r="U43" s="52">
        <v>0</v>
      </c>
      <c r="V43" s="55">
        <f t="shared" si="7"/>
        <v>207</v>
      </c>
      <c r="W43" s="52">
        <v>968</v>
      </c>
      <c r="X43" s="52">
        <v>355</v>
      </c>
      <c r="Y43" s="52">
        <v>9</v>
      </c>
      <c r="Z43" s="52">
        <v>4</v>
      </c>
      <c r="AA43" s="55">
        <f t="shared" si="9"/>
        <v>1336</v>
      </c>
      <c r="AB43" s="52">
        <v>3157</v>
      </c>
      <c r="AC43" s="52">
        <v>2052</v>
      </c>
      <c r="AD43" s="52">
        <v>718</v>
      </c>
      <c r="AE43" s="52">
        <v>104</v>
      </c>
      <c r="AF43" s="55">
        <f t="shared" si="11"/>
        <v>6031</v>
      </c>
      <c r="AG43" s="52">
        <v>1049</v>
      </c>
      <c r="AH43" s="52">
        <v>3230</v>
      </c>
      <c r="AI43" s="52">
        <v>4298</v>
      </c>
      <c r="AJ43" s="52">
        <v>3938</v>
      </c>
      <c r="AK43" s="55">
        <f t="shared" si="13"/>
        <v>12515</v>
      </c>
      <c r="AL43" s="56">
        <f t="shared" si="14"/>
        <v>0.5885533184190902</v>
      </c>
      <c r="AM43" s="56">
        <f t="shared" si="15"/>
        <v>0.36292889989388044</v>
      </c>
      <c r="AN43" s="56">
        <f t="shared" si="16"/>
        <v>0.14288557213930347</v>
      </c>
      <c r="AO43" s="56">
        <f t="shared" si="17"/>
        <v>2.5704399406821551E-2</v>
      </c>
      <c r="AP43" s="57">
        <f t="shared" si="18"/>
        <v>0.30021404748867542</v>
      </c>
      <c r="AQ43" s="56">
        <f t="shared" si="19"/>
        <v>0.19556301267710663</v>
      </c>
      <c r="AR43" s="56">
        <f t="shared" si="20"/>
        <v>0.57127697205518213</v>
      </c>
      <c r="AS43" s="56">
        <f t="shared" si="21"/>
        <v>0.85532338308457712</v>
      </c>
      <c r="AT43" s="56">
        <f t="shared" si="22"/>
        <v>0.97330696984676224</v>
      </c>
      <c r="AU43" s="57">
        <f t="shared" si="23"/>
        <v>0.62297774901687486</v>
      </c>
      <c r="AV43" s="52">
        <v>1882</v>
      </c>
      <c r="AW43" s="52">
        <v>3990</v>
      </c>
      <c r="AX43" s="52">
        <v>4531</v>
      </c>
      <c r="AY43" s="52">
        <v>3825</v>
      </c>
      <c r="AZ43" s="58">
        <f t="shared" si="25"/>
        <v>14228</v>
      </c>
      <c r="BA43" s="52">
        <v>1349</v>
      </c>
      <c r="BB43" s="52">
        <v>2858</v>
      </c>
      <c r="BC43" s="52">
        <v>3914</v>
      </c>
      <c r="BD43" s="52">
        <v>3651</v>
      </c>
      <c r="BE43" s="59">
        <f t="shared" si="27"/>
        <v>11772</v>
      </c>
      <c r="BF43" s="52">
        <v>445</v>
      </c>
      <c r="BG43" s="52">
        <v>1580</v>
      </c>
      <c r="BH43" s="52">
        <v>3036</v>
      </c>
      <c r="BI43" s="52">
        <v>3355</v>
      </c>
      <c r="BJ43" s="60">
        <f t="shared" si="29"/>
        <v>8416</v>
      </c>
      <c r="BK43" s="52">
        <v>202</v>
      </c>
      <c r="BL43" s="52">
        <v>866</v>
      </c>
      <c r="BM43" s="52">
        <v>1932</v>
      </c>
      <c r="BN43" s="52">
        <v>2771</v>
      </c>
      <c r="BO43" s="55">
        <f t="shared" si="31"/>
        <v>5771</v>
      </c>
      <c r="BP43" s="61"/>
      <c r="BQ43" s="62">
        <f t="shared" si="32"/>
        <v>0.35085756897837433</v>
      </c>
      <c r="BR43" s="62">
        <f t="shared" si="33"/>
        <v>0.7056950831269897</v>
      </c>
      <c r="BS43" s="62">
        <f t="shared" si="34"/>
        <v>0.90169154228855719</v>
      </c>
      <c r="BT43" s="62">
        <f t="shared" si="35"/>
        <v>0.94537815126050417</v>
      </c>
      <c r="BU43" s="63">
        <f t="shared" si="36"/>
        <v>0.70824829508686349</v>
      </c>
      <c r="BV43" s="62">
        <f t="shared" si="37"/>
        <v>0.25149142431021626</v>
      </c>
      <c r="BW43" s="62">
        <f t="shared" si="38"/>
        <v>0.50548284400424481</v>
      </c>
      <c r="BX43" s="62">
        <f t="shared" si="39"/>
        <v>0.77890547263681587</v>
      </c>
      <c r="BY43" s="62">
        <f t="shared" si="40"/>
        <v>0.90237271379139894</v>
      </c>
      <c r="BZ43" s="64">
        <f t="shared" si="41"/>
        <v>0.58599233411319629</v>
      </c>
      <c r="CA43" s="62">
        <f t="shared" si="42"/>
        <v>8.2960477255779264E-2</v>
      </c>
      <c r="CB43" s="62">
        <f t="shared" si="43"/>
        <v>0.2794481782808631</v>
      </c>
      <c r="CC43" s="62">
        <f t="shared" si="44"/>
        <v>0.60417910447761192</v>
      </c>
      <c r="CD43" s="62">
        <f t="shared" si="45"/>
        <v>0.82921403855659914</v>
      </c>
      <c r="CE43" s="65">
        <f t="shared" si="46"/>
        <v>0.41893573597491163</v>
      </c>
      <c r="CF43" s="62">
        <f t="shared" si="47"/>
        <v>3.7658463832960475E-2</v>
      </c>
      <c r="CG43" s="62">
        <f t="shared" si="48"/>
        <v>0.15316590024761231</v>
      </c>
      <c r="CH43" s="62">
        <f t="shared" si="49"/>
        <v>0.3844776119402985</v>
      </c>
      <c r="CI43" s="62">
        <f t="shared" si="50"/>
        <v>0.68487394957983194</v>
      </c>
      <c r="CJ43" s="66">
        <f t="shared" si="51"/>
        <v>0.28727164119667481</v>
      </c>
      <c r="CK43" s="62">
        <f t="shared" si="100"/>
        <v>0.18074198359433258</v>
      </c>
      <c r="CL43" s="62">
        <f t="shared" si="100"/>
        <v>0.41094800141492749</v>
      </c>
      <c r="CM43" s="62">
        <f t="shared" si="100"/>
        <v>0.6673134328358209</v>
      </c>
      <c r="CN43" s="62">
        <f t="shared" si="100"/>
        <v>0.84045971329708347</v>
      </c>
      <c r="CO43" s="67">
        <f t="shared" si="53"/>
        <v>0.50011200159291158</v>
      </c>
      <c r="CP43" s="48"/>
    </row>
    <row r="44" spans="1:94" ht="30.75" customHeight="1" x14ac:dyDescent="0.3">
      <c r="A44" s="49">
        <v>37</v>
      </c>
      <c r="B44" s="50" t="s">
        <v>73</v>
      </c>
      <c r="C44" s="50" t="s">
        <v>80</v>
      </c>
      <c r="D44" s="51">
        <v>45901</v>
      </c>
      <c r="E44" s="52">
        <v>346</v>
      </c>
      <c r="F44" s="52">
        <v>344</v>
      </c>
      <c r="G44" s="53">
        <f t="shared" si="1"/>
        <v>0.9942196531791907</v>
      </c>
      <c r="H44" s="52">
        <v>7441</v>
      </c>
      <c r="I44" s="52">
        <v>7357</v>
      </c>
      <c r="J44" s="52">
        <v>6272</v>
      </c>
      <c r="K44" s="52">
        <v>4122</v>
      </c>
      <c r="L44" s="54">
        <f t="shared" si="3"/>
        <v>25192</v>
      </c>
      <c r="M44" s="52">
        <v>7381</v>
      </c>
      <c r="N44" s="52">
        <v>7278</v>
      </c>
      <c r="O44" s="52">
        <v>6203</v>
      </c>
      <c r="P44" s="52">
        <v>4101</v>
      </c>
      <c r="Q44" s="54">
        <f t="shared" si="5"/>
        <v>24963</v>
      </c>
      <c r="R44" s="52">
        <v>226</v>
      </c>
      <c r="S44" s="52">
        <v>12</v>
      </c>
      <c r="T44" s="52">
        <v>1</v>
      </c>
      <c r="U44" s="52">
        <v>0</v>
      </c>
      <c r="V44" s="55">
        <f t="shared" si="7"/>
        <v>239</v>
      </c>
      <c r="W44" s="52">
        <v>1379</v>
      </c>
      <c r="X44" s="52">
        <v>252</v>
      </c>
      <c r="Y44" s="52">
        <v>93</v>
      </c>
      <c r="Z44" s="52">
        <v>8</v>
      </c>
      <c r="AA44" s="55">
        <f t="shared" si="9"/>
        <v>1732</v>
      </c>
      <c r="AB44" s="52">
        <v>4453</v>
      </c>
      <c r="AC44" s="52">
        <v>2323</v>
      </c>
      <c r="AD44" s="52">
        <v>846</v>
      </c>
      <c r="AE44" s="52">
        <v>104</v>
      </c>
      <c r="AF44" s="55">
        <f t="shared" si="11"/>
        <v>7726</v>
      </c>
      <c r="AG44" s="52">
        <v>1323</v>
      </c>
      <c r="AH44" s="52">
        <v>4691</v>
      </c>
      <c r="AI44" s="52">
        <v>5263</v>
      </c>
      <c r="AJ44" s="52">
        <v>3989</v>
      </c>
      <c r="AK44" s="55">
        <f t="shared" si="13"/>
        <v>15266</v>
      </c>
      <c r="AL44" s="56">
        <f t="shared" si="14"/>
        <v>0.60330578512396693</v>
      </c>
      <c r="AM44" s="56">
        <f t="shared" si="15"/>
        <v>0.31918109370706238</v>
      </c>
      <c r="AN44" s="56">
        <f t="shared" si="16"/>
        <v>0.13638561986135742</v>
      </c>
      <c r="AO44" s="56">
        <f t="shared" si="17"/>
        <v>2.5359668373567422E-2</v>
      </c>
      <c r="AP44" s="57">
        <f t="shared" si="18"/>
        <v>0.30949805712454431</v>
      </c>
      <c r="AQ44" s="56">
        <f t="shared" si="19"/>
        <v>0.1792440048773879</v>
      </c>
      <c r="AR44" s="56">
        <f t="shared" si="20"/>
        <v>0.64454520472657328</v>
      </c>
      <c r="AS44" s="56">
        <f t="shared" si="21"/>
        <v>0.84846042237626951</v>
      </c>
      <c r="AT44" s="56">
        <f t="shared" si="22"/>
        <v>0.97268958790538895</v>
      </c>
      <c r="AU44" s="57">
        <f t="shared" si="23"/>
        <v>0.61154508672835795</v>
      </c>
      <c r="AV44" s="52">
        <v>2261</v>
      </c>
      <c r="AW44" s="52">
        <v>4926</v>
      </c>
      <c r="AX44" s="52">
        <v>5384</v>
      </c>
      <c r="AY44" s="52">
        <v>3748</v>
      </c>
      <c r="AZ44" s="58">
        <f t="shared" si="25"/>
        <v>16319</v>
      </c>
      <c r="BA44" s="52">
        <v>1752</v>
      </c>
      <c r="BB44" s="52">
        <v>3660</v>
      </c>
      <c r="BC44" s="52">
        <v>4511</v>
      </c>
      <c r="BD44" s="52">
        <v>3480</v>
      </c>
      <c r="BE44" s="59">
        <f t="shared" si="27"/>
        <v>13403</v>
      </c>
      <c r="BF44" s="52">
        <v>924</v>
      </c>
      <c r="BG44" s="52">
        <v>2298</v>
      </c>
      <c r="BH44" s="52">
        <v>3613</v>
      </c>
      <c r="BI44" s="52">
        <v>3260</v>
      </c>
      <c r="BJ44" s="60">
        <f t="shared" si="29"/>
        <v>10095</v>
      </c>
      <c r="BK44" s="52">
        <v>586</v>
      </c>
      <c r="BL44" s="52">
        <v>1361</v>
      </c>
      <c r="BM44" s="52">
        <v>2398</v>
      </c>
      <c r="BN44" s="52">
        <v>2816</v>
      </c>
      <c r="BO44" s="55">
        <f t="shared" si="31"/>
        <v>7161</v>
      </c>
      <c r="BP44" s="61"/>
      <c r="BQ44" s="62">
        <f t="shared" si="32"/>
        <v>0.30632705595447773</v>
      </c>
      <c r="BR44" s="62">
        <f t="shared" si="33"/>
        <v>0.67683429513602633</v>
      </c>
      <c r="BS44" s="62">
        <f t="shared" si="34"/>
        <v>0.86796711268740934</v>
      </c>
      <c r="BT44" s="62">
        <f t="shared" si="35"/>
        <v>0.91392343330894898</v>
      </c>
      <c r="BU44" s="63">
        <f t="shared" si="36"/>
        <v>0.6537275167247526</v>
      </c>
      <c r="BV44" s="62">
        <f t="shared" si="37"/>
        <v>0.23736621054057716</v>
      </c>
      <c r="BW44" s="62">
        <f t="shared" si="38"/>
        <v>0.50288540807914262</v>
      </c>
      <c r="BX44" s="62">
        <f t="shared" si="39"/>
        <v>0.72722876027728522</v>
      </c>
      <c r="BY44" s="62">
        <f t="shared" si="40"/>
        <v>0.84857351865398678</v>
      </c>
      <c r="BZ44" s="64">
        <f t="shared" si="41"/>
        <v>0.53691463365781356</v>
      </c>
      <c r="CA44" s="62">
        <f t="shared" si="42"/>
        <v>0.12518628912071536</v>
      </c>
      <c r="CB44" s="62">
        <f t="shared" si="43"/>
        <v>0.31574608408903543</v>
      </c>
      <c r="CC44" s="62">
        <f t="shared" si="44"/>
        <v>0.58246009995163628</v>
      </c>
      <c r="CD44" s="62">
        <f t="shared" si="45"/>
        <v>0.79492806632528656</v>
      </c>
      <c r="CE44" s="65">
        <f t="shared" si="46"/>
        <v>0.40439850979449588</v>
      </c>
      <c r="CF44" s="62">
        <f t="shared" si="47"/>
        <v>7.9393036173960166E-2</v>
      </c>
      <c r="CG44" s="62">
        <f t="shared" si="48"/>
        <v>0.18700192360538609</v>
      </c>
      <c r="CH44" s="62">
        <f t="shared" si="49"/>
        <v>0.38658713525713362</v>
      </c>
      <c r="CI44" s="62">
        <f t="shared" si="50"/>
        <v>0.68666178980736403</v>
      </c>
      <c r="CJ44" s="66">
        <f t="shared" si="51"/>
        <v>0.28686455954813123</v>
      </c>
      <c r="CK44" s="62">
        <f t="shared" si="100"/>
        <v>0.18706814794743262</v>
      </c>
      <c r="CL44" s="62">
        <f t="shared" si="100"/>
        <v>0.42061692772739762</v>
      </c>
      <c r="CM44" s="62">
        <f t="shared" si="100"/>
        <v>0.64106077704336617</v>
      </c>
      <c r="CN44" s="62">
        <f t="shared" si="100"/>
        <v>0.81102170202389656</v>
      </c>
      <c r="CO44" s="67">
        <f t="shared" si="53"/>
        <v>0.47047630493129833</v>
      </c>
      <c r="CP44" s="48"/>
    </row>
    <row r="45" spans="1:94" ht="30.75" customHeight="1" x14ac:dyDescent="0.3">
      <c r="A45" s="49">
        <v>38</v>
      </c>
      <c r="B45" s="50" t="s">
        <v>73</v>
      </c>
      <c r="C45" s="50" t="s">
        <v>81</v>
      </c>
      <c r="D45" s="51">
        <v>45901</v>
      </c>
      <c r="E45" s="52">
        <v>281</v>
      </c>
      <c r="F45" s="52">
        <v>281</v>
      </c>
      <c r="G45" s="53">
        <f t="shared" si="1"/>
        <v>1</v>
      </c>
      <c r="H45" s="52">
        <v>5035</v>
      </c>
      <c r="I45" s="52">
        <v>5046</v>
      </c>
      <c r="J45" s="52">
        <v>4609</v>
      </c>
      <c r="K45" s="52">
        <v>3637</v>
      </c>
      <c r="L45" s="54">
        <f t="shared" si="3"/>
        <v>18327</v>
      </c>
      <c r="M45" s="52">
        <v>5000</v>
      </c>
      <c r="N45" s="52">
        <v>5021</v>
      </c>
      <c r="O45" s="52">
        <v>4584</v>
      </c>
      <c r="P45" s="52">
        <v>3622</v>
      </c>
      <c r="Q45" s="54">
        <f t="shared" si="5"/>
        <v>18227</v>
      </c>
      <c r="R45" s="52">
        <v>358</v>
      </c>
      <c r="S45" s="52">
        <v>98</v>
      </c>
      <c r="T45" s="52">
        <v>30</v>
      </c>
      <c r="U45" s="52">
        <v>5</v>
      </c>
      <c r="V45" s="55">
        <f t="shared" si="7"/>
        <v>491</v>
      </c>
      <c r="W45" s="52">
        <v>1269</v>
      </c>
      <c r="X45" s="52">
        <v>383</v>
      </c>
      <c r="Y45" s="52">
        <v>79</v>
      </c>
      <c r="Z45" s="52">
        <v>11</v>
      </c>
      <c r="AA45" s="55">
        <f t="shared" si="9"/>
        <v>1742</v>
      </c>
      <c r="AB45" s="52">
        <v>2760</v>
      </c>
      <c r="AC45" s="52">
        <v>1731</v>
      </c>
      <c r="AD45" s="52">
        <v>853</v>
      </c>
      <c r="AE45" s="52">
        <v>235</v>
      </c>
      <c r="AF45" s="55">
        <f t="shared" si="11"/>
        <v>5579</v>
      </c>
      <c r="AG45" s="52">
        <v>613</v>
      </c>
      <c r="AH45" s="52">
        <v>2809</v>
      </c>
      <c r="AI45" s="52">
        <v>3622</v>
      </c>
      <c r="AJ45" s="52">
        <v>3361</v>
      </c>
      <c r="AK45" s="55">
        <f t="shared" si="13"/>
        <v>10405</v>
      </c>
      <c r="AL45" s="56">
        <f t="shared" si="14"/>
        <v>0.55200000000000005</v>
      </c>
      <c r="AM45" s="56">
        <f t="shared" si="15"/>
        <v>0.34475204142601074</v>
      </c>
      <c r="AN45" s="56">
        <f t="shared" si="16"/>
        <v>0.18608202443280977</v>
      </c>
      <c r="AO45" s="56">
        <f t="shared" si="17"/>
        <v>6.4881281060187743E-2</v>
      </c>
      <c r="AP45" s="57">
        <f t="shared" si="18"/>
        <v>0.30608438031491741</v>
      </c>
      <c r="AQ45" s="56">
        <f t="shared" si="19"/>
        <v>0.1226</v>
      </c>
      <c r="AR45" s="56">
        <f t="shared" si="20"/>
        <v>0.55945030870344548</v>
      </c>
      <c r="AS45" s="56">
        <f t="shared" si="21"/>
        <v>0.79013961605584637</v>
      </c>
      <c r="AT45" s="56">
        <f t="shared" si="22"/>
        <v>0.9279403644395362</v>
      </c>
      <c r="AU45" s="57">
        <f t="shared" si="23"/>
        <v>0.57085642179184726</v>
      </c>
      <c r="AV45" s="52">
        <v>1242</v>
      </c>
      <c r="AW45" s="52">
        <v>3037</v>
      </c>
      <c r="AX45" s="52">
        <v>3633</v>
      </c>
      <c r="AY45" s="52">
        <v>3242</v>
      </c>
      <c r="AZ45" s="58">
        <f t="shared" si="25"/>
        <v>11154</v>
      </c>
      <c r="BA45" s="52">
        <v>945</v>
      </c>
      <c r="BB45" s="52">
        <v>2232</v>
      </c>
      <c r="BC45" s="52">
        <v>3019</v>
      </c>
      <c r="BD45" s="52">
        <v>2989</v>
      </c>
      <c r="BE45" s="59">
        <f t="shared" si="27"/>
        <v>9185</v>
      </c>
      <c r="BF45" s="52">
        <v>417</v>
      </c>
      <c r="BG45" s="52">
        <v>1268</v>
      </c>
      <c r="BH45" s="52">
        <v>2362</v>
      </c>
      <c r="BI45" s="52">
        <v>2638</v>
      </c>
      <c r="BJ45" s="60">
        <f t="shared" si="29"/>
        <v>6685</v>
      </c>
      <c r="BK45" s="52">
        <v>168</v>
      </c>
      <c r="BL45" s="52">
        <v>522</v>
      </c>
      <c r="BM45" s="52">
        <v>1401</v>
      </c>
      <c r="BN45" s="52">
        <v>2048</v>
      </c>
      <c r="BO45" s="55">
        <f t="shared" si="31"/>
        <v>4139</v>
      </c>
      <c r="BP45" s="61"/>
      <c r="BQ45" s="62">
        <f t="shared" si="32"/>
        <v>0.24840000000000001</v>
      </c>
      <c r="BR45" s="62">
        <f t="shared" si="33"/>
        <v>0.60485958972316267</v>
      </c>
      <c r="BS45" s="62">
        <f t="shared" si="34"/>
        <v>0.79253926701570676</v>
      </c>
      <c r="BT45" s="62">
        <f t="shared" si="35"/>
        <v>0.89508558807288796</v>
      </c>
      <c r="BU45" s="63">
        <f t="shared" si="36"/>
        <v>0.61194930597465302</v>
      </c>
      <c r="BV45" s="62">
        <f t="shared" si="37"/>
        <v>0.189</v>
      </c>
      <c r="BW45" s="62">
        <f t="shared" si="38"/>
        <v>0.44453296156144195</v>
      </c>
      <c r="BX45" s="62">
        <f t="shared" si="39"/>
        <v>0.65859511343804533</v>
      </c>
      <c r="BY45" s="62">
        <f t="shared" si="40"/>
        <v>0.82523467697404751</v>
      </c>
      <c r="BZ45" s="64">
        <f t="shared" si="41"/>
        <v>0.50392275196137593</v>
      </c>
      <c r="CA45" s="62">
        <f t="shared" si="42"/>
        <v>8.3400000000000002E-2</v>
      </c>
      <c r="CB45" s="62">
        <f t="shared" si="43"/>
        <v>0.25253933479386576</v>
      </c>
      <c r="CC45" s="62">
        <f t="shared" si="44"/>
        <v>0.51527050610820246</v>
      </c>
      <c r="CD45" s="62">
        <f t="shared" si="45"/>
        <v>0.72832689122032024</v>
      </c>
      <c r="CE45" s="65">
        <f t="shared" si="46"/>
        <v>0.36676359247270535</v>
      </c>
      <c r="CF45" s="62">
        <f t="shared" si="47"/>
        <v>3.3599999999999998E-2</v>
      </c>
      <c r="CG45" s="62">
        <f t="shared" si="48"/>
        <v>0.10396335391356304</v>
      </c>
      <c r="CH45" s="62">
        <f t="shared" si="49"/>
        <v>0.3056282722513089</v>
      </c>
      <c r="CI45" s="62">
        <f t="shared" si="50"/>
        <v>0.56543346217559365</v>
      </c>
      <c r="CJ45" s="66">
        <f t="shared" si="51"/>
        <v>0.22708070444944314</v>
      </c>
      <c r="CK45" s="62">
        <f t="shared" si="100"/>
        <v>0.1386</v>
      </c>
      <c r="CL45" s="62">
        <f t="shared" si="100"/>
        <v>0.35147380999800837</v>
      </c>
      <c r="CM45" s="62">
        <f t="shared" si="100"/>
        <v>0.56800828970331596</v>
      </c>
      <c r="CN45" s="62">
        <f t="shared" si="100"/>
        <v>0.75352015461071242</v>
      </c>
      <c r="CO45" s="67">
        <f t="shared" si="53"/>
        <v>0.42742908871454438</v>
      </c>
      <c r="CP45" s="48"/>
    </row>
    <row r="46" spans="1:94" ht="30.75" customHeight="1" x14ac:dyDescent="0.3">
      <c r="A46" s="36" t="s">
        <v>82</v>
      </c>
      <c r="B46" s="37"/>
      <c r="C46" s="38"/>
      <c r="D46" s="39"/>
      <c r="E46" s="40">
        <f t="shared" ref="E46:F46" si="112">SUM(E47:E51)</f>
        <v>890</v>
      </c>
      <c r="F46" s="40">
        <f t="shared" si="112"/>
        <v>787</v>
      </c>
      <c r="G46" s="41">
        <f t="shared" si="1"/>
        <v>0.88426966292134834</v>
      </c>
      <c r="H46" s="40">
        <f t="shared" ref="H46:K46" si="113">SUM(H47:H51)</f>
        <v>28801</v>
      </c>
      <c r="I46" s="40">
        <f t="shared" si="113"/>
        <v>24067</v>
      </c>
      <c r="J46" s="40">
        <f t="shared" si="113"/>
        <v>17930</v>
      </c>
      <c r="K46" s="40">
        <f t="shared" si="113"/>
        <v>11948</v>
      </c>
      <c r="L46" s="42">
        <f t="shared" si="3"/>
        <v>82746</v>
      </c>
      <c r="M46" s="40">
        <f t="shared" ref="M46:P46" si="114">SUM(M47:M51)</f>
        <v>26084</v>
      </c>
      <c r="N46" s="40">
        <f t="shared" si="114"/>
        <v>22642</v>
      </c>
      <c r="O46" s="40">
        <f t="shared" si="114"/>
        <v>16954</v>
      </c>
      <c r="P46" s="40">
        <f t="shared" si="114"/>
        <v>11415</v>
      </c>
      <c r="Q46" s="42">
        <f t="shared" si="5"/>
        <v>77095</v>
      </c>
      <c r="R46" s="40">
        <f t="shared" ref="R46:U46" si="115">SUM(R47:R51)</f>
        <v>3565</v>
      </c>
      <c r="S46" s="40">
        <f t="shared" si="115"/>
        <v>737</v>
      </c>
      <c r="T46" s="40">
        <f t="shared" si="115"/>
        <v>250</v>
      </c>
      <c r="U46" s="40">
        <f t="shared" si="115"/>
        <v>44</v>
      </c>
      <c r="V46" s="43">
        <f t="shared" si="7"/>
        <v>4596</v>
      </c>
      <c r="W46" s="40">
        <f t="shared" ref="W46:Z46" si="116">SUM(W47:W51)</f>
        <v>6230</v>
      </c>
      <c r="X46" s="40">
        <f t="shared" si="116"/>
        <v>2744</v>
      </c>
      <c r="Y46" s="40">
        <f t="shared" si="116"/>
        <v>870</v>
      </c>
      <c r="Z46" s="40">
        <f t="shared" si="116"/>
        <v>280</v>
      </c>
      <c r="AA46" s="43">
        <f t="shared" si="9"/>
        <v>10124</v>
      </c>
      <c r="AB46" s="40">
        <f t="shared" ref="AB46:AE46" si="117">SUM(AB47:AB51)</f>
        <v>9192</v>
      </c>
      <c r="AC46" s="40">
        <f t="shared" si="117"/>
        <v>7410</v>
      </c>
      <c r="AD46" s="40">
        <f t="shared" si="117"/>
        <v>3194</v>
      </c>
      <c r="AE46" s="40">
        <f t="shared" si="117"/>
        <v>1129</v>
      </c>
      <c r="AF46" s="43">
        <f t="shared" si="11"/>
        <v>20925</v>
      </c>
      <c r="AG46" s="40">
        <f t="shared" ref="AG46:AJ46" si="118">SUM(AG47:AG51)</f>
        <v>7097</v>
      </c>
      <c r="AH46" s="40">
        <f t="shared" si="118"/>
        <v>11751</v>
      </c>
      <c r="AI46" s="40">
        <f t="shared" si="118"/>
        <v>12640</v>
      </c>
      <c r="AJ46" s="40">
        <f t="shared" si="118"/>
        <v>9962</v>
      </c>
      <c r="AK46" s="43">
        <f t="shared" si="13"/>
        <v>41450</v>
      </c>
      <c r="AL46" s="44">
        <f t="shared" si="14"/>
        <v>0.35239993865971475</v>
      </c>
      <c r="AM46" s="44">
        <f t="shared" si="15"/>
        <v>0.32726790919530074</v>
      </c>
      <c r="AN46" s="44">
        <f t="shared" si="16"/>
        <v>0.18839211985372184</v>
      </c>
      <c r="AO46" s="44">
        <f t="shared" si="17"/>
        <v>9.890494962768287E-2</v>
      </c>
      <c r="AP46" s="44">
        <f t="shared" si="18"/>
        <v>0.27141837992087686</v>
      </c>
      <c r="AQ46" s="44">
        <f t="shared" si="19"/>
        <v>0.27208250268363748</v>
      </c>
      <c r="AR46" s="44">
        <f t="shared" si="20"/>
        <v>0.51899125518947087</v>
      </c>
      <c r="AS46" s="44">
        <f t="shared" si="21"/>
        <v>0.74554677362274391</v>
      </c>
      <c r="AT46" s="44">
        <f t="shared" si="22"/>
        <v>0.87271134472185719</v>
      </c>
      <c r="AU46" s="44">
        <f t="shared" si="23"/>
        <v>0.53764835592450877</v>
      </c>
      <c r="AV46" s="40">
        <f t="shared" ref="AV46:AY46" si="119">SUM(AV47:AV51)</f>
        <v>12202</v>
      </c>
      <c r="AW46" s="40">
        <f t="shared" si="119"/>
        <v>14433</v>
      </c>
      <c r="AX46" s="40">
        <f t="shared" si="119"/>
        <v>12853</v>
      </c>
      <c r="AY46" s="40">
        <f t="shared" si="119"/>
        <v>9617</v>
      </c>
      <c r="AZ46" s="43">
        <f t="shared" si="25"/>
        <v>49105</v>
      </c>
      <c r="BA46" s="40">
        <f t="shared" ref="BA46:BD46" si="120">SUM(BA47:BA51)</f>
        <v>10321</v>
      </c>
      <c r="BB46" s="40">
        <f t="shared" si="120"/>
        <v>11328</v>
      </c>
      <c r="BC46" s="40">
        <f t="shared" si="120"/>
        <v>10452</v>
      </c>
      <c r="BD46" s="40">
        <f t="shared" si="120"/>
        <v>8330</v>
      </c>
      <c r="BE46" s="43">
        <f t="shared" si="27"/>
        <v>40431</v>
      </c>
      <c r="BF46" s="40">
        <f t="shared" ref="BF46:BI46" si="121">SUM(BF47:BF51)</f>
        <v>8023</v>
      </c>
      <c r="BG46" s="40">
        <f t="shared" si="121"/>
        <v>9859</v>
      </c>
      <c r="BH46" s="40">
        <f t="shared" si="121"/>
        <v>9380</v>
      </c>
      <c r="BI46" s="40">
        <f t="shared" si="121"/>
        <v>7628</v>
      </c>
      <c r="BJ46" s="43">
        <f t="shared" si="29"/>
        <v>34890</v>
      </c>
      <c r="BK46" s="40">
        <f t="shared" ref="BK46:BN46" si="122">SUM(BK47:BK51)</f>
        <v>5002</v>
      </c>
      <c r="BL46" s="40">
        <f t="shared" si="122"/>
        <v>6631</v>
      </c>
      <c r="BM46" s="40">
        <f t="shared" si="122"/>
        <v>6611</v>
      </c>
      <c r="BN46" s="40">
        <f t="shared" si="122"/>
        <v>5749</v>
      </c>
      <c r="BO46" s="43">
        <f t="shared" si="31"/>
        <v>23993</v>
      </c>
      <c r="BP46" s="45"/>
      <c r="BQ46" s="46">
        <f t="shared" si="32"/>
        <v>0.46779635025302868</v>
      </c>
      <c r="BR46" s="46">
        <f t="shared" si="33"/>
        <v>0.63744368872007773</v>
      </c>
      <c r="BS46" s="46">
        <f t="shared" si="34"/>
        <v>0.7581101804883803</v>
      </c>
      <c r="BT46" s="46">
        <f t="shared" si="35"/>
        <v>0.84248795444590452</v>
      </c>
      <c r="BU46" s="46">
        <f t="shared" si="36"/>
        <v>0.63694143589078411</v>
      </c>
      <c r="BV46" s="46">
        <f t="shared" si="37"/>
        <v>0.39568317742677506</v>
      </c>
      <c r="BW46" s="46">
        <f t="shared" si="38"/>
        <v>0.50030915996820069</v>
      </c>
      <c r="BX46" s="46">
        <f t="shared" si="39"/>
        <v>0.61649168337855376</v>
      </c>
      <c r="BY46" s="46">
        <f t="shared" si="40"/>
        <v>0.7297415681121332</v>
      </c>
      <c r="BZ46" s="47">
        <f t="shared" si="41"/>
        <v>0.52443089694532719</v>
      </c>
      <c r="CA46" s="46">
        <f t="shared" si="42"/>
        <v>0.30758319276184637</v>
      </c>
      <c r="CB46" s="46">
        <f t="shared" si="43"/>
        <v>0.43542973235579896</v>
      </c>
      <c r="CC46" s="46">
        <f t="shared" si="44"/>
        <v>0.55326176713459951</v>
      </c>
      <c r="CD46" s="46">
        <f t="shared" si="45"/>
        <v>0.66824353920280333</v>
      </c>
      <c r="CE46" s="47">
        <f t="shared" si="46"/>
        <v>0.45255853168169141</v>
      </c>
      <c r="CF46" s="46">
        <f t="shared" si="47"/>
        <v>0.19176506670756019</v>
      </c>
      <c r="CG46" s="46">
        <f t="shared" si="48"/>
        <v>0.29286282130553837</v>
      </c>
      <c r="CH46" s="46">
        <f t="shared" si="49"/>
        <v>0.38993747788132593</v>
      </c>
      <c r="CI46" s="46">
        <f t="shared" si="50"/>
        <v>0.50363556723609282</v>
      </c>
      <c r="CJ46" s="47">
        <f t="shared" si="51"/>
        <v>0.31121343796614565</v>
      </c>
      <c r="CK46" s="46">
        <f t="shared" si="100"/>
        <v>0.34070694678730257</v>
      </c>
      <c r="CL46" s="46">
        <f t="shared" si="100"/>
        <v>0.46651135058740395</v>
      </c>
      <c r="CM46" s="46">
        <f t="shared" si="100"/>
        <v>0.57945027722071485</v>
      </c>
      <c r="CN46" s="46">
        <f t="shared" si="100"/>
        <v>0.68602715724923347</v>
      </c>
      <c r="CO46" s="47">
        <f t="shared" si="53"/>
        <v>0.48128607562098713</v>
      </c>
      <c r="CP46" s="48"/>
    </row>
    <row r="47" spans="1:94" ht="30.75" customHeight="1" x14ac:dyDescent="0.3">
      <c r="A47" s="49">
        <v>34</v>
      </c>
      <c r="B47" s="50" t="s">
        <v>83</v>
      </c>
      <c r="C47" s="50" t="s">
        <v>84</v>
      </c>
      <c r="D47" s="51">
        <v>45901</v>
      </c>
      <c r="E47" s="52">
        <v>18</v>
      </c>
      <c r="F47" s="52">
        <v>18</v>
      </c>
      <c r="G47" s="53">
        <f t="shared" si="1"/>
        <v>1</v>
      </c>
      <c r="H47" s="52">
        <v>1254</v>
      </c>
      <c r="I47" s="52">
        <v>1145</v>
      </c>
      <c r="J47" s="52">
        <v>996</v>
      </c>
      <c r="K47" s="52">
        <v>771</v>
      </c>
      <c r="L47" s="54">
        <f t="shared" si="3"/>
        <v>4166</v>
      </c>
      <c r="M47" s="52">
        <v>1214</v>
      </c>
      <c r="N47" s="52">
        <v>1107</v>
      </c>
      <c r="O47" s="52">
        <v>954</v>
      </c>
      <c r="P47" s="52">
        <v>758</v>
      </c>
      <c r="Q47" s="54">
        <f t="shared" si="5"/>
        <v>4033</v>
      </c>
      <c r="R47" s="52">
        <v>164</v>
      </c>
      <c r="S47" s="52">
        <v>15</v>
      </c>
      <c r="T47" s="52">
        <v>10</v>
      </c>
      <c r="U47" s="52">
        <v>0</v>
      </c>
      <c r="V47" s="55">
        <f t="shared" si="7"/>
        <v>189</v>
      </c>
      <c r="W47" s="52">
        <v>122</v>
      </c>
      <c r="X47" s="52">
        <v>110</v>
      </c>
      <c r="Y47" s="52">
        <v>60</v>
      </c>
      <c r="Z47" s="52">
        <v>29</v>
      </c>
      <c r="AA47" s="55">
        <f t="shared" si="9"/>
        <v>321</v>
      </c>
      <c r="AB47" s="52">
        <v>307</v>
      </c>
      <c r="AC47" s="52">
        <v>202</v>
      </c>
      <c r="AD47" s="52">
        <v>106</v>
      </c>
      <c r="AE47" s="52">
        <v>90</v>
      </c>
      <c r="AF47" s="55">
        <f t="shared" si="11"/>
        <v>705</v>
      </c>
      <c r="AG47" s="52">
        <v>621</v>
      </c>
      <c r="AH47" s="52">
        <v>780</v>
      </c>
      <c r="AI47" s="52">
        <v>778</v>
      </c>
      <c r="AJ47" s="52">
        <v>639</v>
      </c>
      <c r="AK47" s="55">
        <f t="shared" si="13"/>
        <v>2818</v>
      </c>
      <c r="AL47" s="56">
        <f t="shared" si="14"/>
        <v>0.25288303130148271</v>
      </c>
      <c r="AM47" s="56">
        <f t="shared" si="15"/>
        <v>0.18247515808491419</v>
      </c>
      <c r="AN47" s="56">
        <f t="shared" si="16"/>
        <v>0.1111111111111111</v>
      </c>
      <c r="AO47" s="56">
        <f t="shared" si="17"/>
        <v>0.11873350923482849</v>
      </c>
      <c r="AP47" s="57">
        <f t="shared" si="18"/>
        <v>0.17480783535829408</v>
      </c>
      <c r="AQ47" s="56">
        <f t="shared" si="19"/>
        <v>0.51153212520593083</v>
      </c>
      <c r="AR47" s="56">
        <f t="shared" si="20"/>
        <v>0.70460704607046065</v>
      </c>
      <c r="AS47" s="56">
        <f t="shared" si="21"/>
        <v>0.81551362683438156</v>
      </c>
      <c r="AT47" s="56">
        <f t="shared" si="22"/>
        <v>0.84300791556728227</v>
      </c>
      <c r="AU47" s="57">
        <f t="shared" si="23"/>
        <v>0.69873543268038685</v>
      </c>
      <c r="AV47" s="52">
        <v>771</v>
      </c>
      <c r="AW47" s="52">
        <v>896</v>
      </c>
      <c r="AX47" s="52">
        <v>822</v>
      </c>
      <c r="AY47" s="52">
        <v>710</v>
      </c>
      <c r="AZ47" s="58">
        <f t="shared" si="25"/>
        <v>3199</v>
      </c>
      <c r="BA47" s="52">
        <v>707</v>
      </c>
      <c r="BB47" s="52">
        <v>823</v>
      </c>
      <c r="BC47" s="52">
        <v>773</v>
      </c>
      <c r="BD47" s="52">
        <v>677</v>
      </c>
      <c r="BE47" s="59">
        <f t="shared" si="27"/>
        <v>2980</v>
      </c>
      <c r="BF47" s="52">
        <v>510</v>
      </c>
      <c r="BG47" s="52">
        <v>720</v>
      </c>
      <c r="BH47" s="52">
        <v>671</v>
      </c>
      <c r="BI47" s="52">
        <v>604</v>
      </c>
      <c r="BJ47" s="60">
        <f t="shared" si="29"/>
        <v>2505</v>
      </c>
      <c r="BK47" s="52">
        <v>396</v>
      </c>
      <c r="BL47" s="52">
        <v>516</v>
      </c>
      <c r="BM47" s="52">
        <v>559</v>
      </c>
      <c r="BN47" s="52">
        <v>470</v>
      </c>
      <c r="BO47" s="55">
        <f t="shared" si="31"/>
        <v>1941</v>
      </c>
      <c r="BP47" s="61"/>
      <c r="BQ47" s="62">
        <f t="shared" si="32"/>
        <v>0.63509060955518948</v>
      </c>
      <c r="BR47" s="62">
        <f t="shared" si="33"/>
        <v>0.80939476061427285</v>
      </c>
      <c r="BS47" s="62">
        <f t="shared" si="34"/>
        <v>0.86163522012578619</v>
      </c>
      <c r="BT47" s="62">
        <f t="shared" si="35"/>
        <v>0.9366754617414248</v>
      </c>
      <c r="BU47" s="63">
        <f t="shared" si="36"/>
        <v>0.79320605008678402</v>
      </c>
      <c r="BV47" s="62">
        <f t="shared" si="37"/>
        <v>0.5823723228995058</v>
      </c>
      <c r="BW47" s="62">
        <f t="shared" si="38"/>
        <v>0.74345076784101172</v>
      </c>
      <c r="BX47" s="62">
        <f t="shared" si="39"/>
        <v>0.810272536687631</v>
      </c>
      <c r="BY47" s="62">
        <f t="shared" si="40"/>
        <v>0.89313984168865435</v>
      </c>
      <c r="BZ47" s="64">
        <f t="shared" si="41"/>
        <v>0.73890404165633528</v>
      </c>
      <c r="CA47" s="62">
        <f t="shared" si="42"/>
        <v>0.42009884678747939</v>
      </c>
      <c r="CB47" s="62">
        <f t="shared" si="43"/>
        <v>0.65040650406504064</v>
      </c>
      <c r="CC47" s="62">
        <f t="shared" si="44"/>
        <v>0.70335429769392033</v>
      </c>
      <c r="CD47" s="62">
        <f t="shared" si="45"/>
        <v>0.79683377308707126</v>
      </c>
      <c r="CE47" s="65">
        <f t="shared" si="46"/>
        <v>0.62112571286883211</v>
      </c>
      <c r="CF47" s="62">
        <f t="shared" si="47"/>
        <v>0.32619439868204281</v>
      </c>
      <c r="CG47" s="62">
        <f t="shared" si="48"/>
        <v>0.46612466124661245</v>
      </c>
      <c r="CH47" s="62">
        <f t="shared" si="49"/>
        <v>0.58595387840670865</v>
      </c>
      <c r="CI47" s="62">
        <f t="shared" si="50"/>
        <v>0.62005277044854878</v>
      </c>
      <c r="CJ47" s="66">
        <f t="shared" si="51"/>
        <v>0.4812794445821969</v>
      </c>
      <c r="CK47" s="62">
        <f t="shared" si="100"/>
        <v>0.49093904448105435</v>
      </c>
      <c r="CL47" s="62">
        <f t="shared" si="100"/>
        <v>0.66734417344173436</v>
      </c>
      <c r="CM47" s="62">
        <f t="shared" si="100"/>
        <v>0.74030398322851154</v>
      </c>
      <c r="CN47" s="62">
        <f t="shared" si="100"/>
        <v>0.8116754617414248</v>
      </c>
      <c r="CO47" s="67">
        <f t="shared" si="53"/>
        <v>0.65862881229853709</v>
      </c>
      <c r="CP47" s="48"/>
    </row>
    <row r="48" spans="1:94" ht="30.75" customHeight="1" x14ac:dyDescent="0.3">
      <c r="A48" s="49">
        <v>35</v>
      </c>
      <c r="B48" s="50" t="s">
        <v>83</v>
      </c>
      <c r="C48" s="50" t="s">
        <v>85</v>
      </c>
      <c r="D48" s="51">
        <v>45901</v>
      </c>
      <c r="E48" s="52">
        <v>253</v>
      </c>
      <c r="F48" s="52">
        <v>170</v>
      </c>
      <c r="G48" s="53">
        <f t="shared" si="1"/>
        <v>0.67193675889328064</v>
      </c>
      <c r="H48" s="52">
        <v>4296</v>
      </c>
      <c r="I48" s="52">
        <v>3666</v>
      </c>
      <c r="J48" s="52">
        <v>2502</v>
      </c>
      <c r="K48" s="52">
        <v>1565</v>
      </c>
      <c r="L48" s="54">
        <f t="shared" si="3"/>
        <v>12029</v>
      </c>
      <c r="M48" s="52">
        <v>4037</v>
      </c>
      <c r="N48" s="52">
        <v>3450</v>
      </c>
      <c r="O48" s="52">
        <v>2353</v>
      </c>
      <c r="P48" s="52">
        <v>1507</v>
      </c>
      <c r="Q48" s="54">
        <f t="shared" si="5"/>
        <v>11347</v>
      </c>
      <c r="R48" s="52">
        <v>256</v>
      </c>
      <c r="S48" s="52">
        <v>69</v>
      </c>
      <c r="T48" s="52">
        <v>41</v>
      </c>
      <c r="U48" s="52">
        <v>18</v>
      </c>
      <c r="V48" s="55">
        <f t="shared" si="7"/>
        <v>384</v>
      </c>
      <c r="W48" s="52">
        <v>707</v>
      </c>
      <c r="X48" s="52">
        <v>246</v>
      </c>
      <c r="Y48" s="52">
        <v>71</v>
      </c>
      <c r="Z48" s="52">
        <v>19</v>
      </c>
      <c r="AA48" s="55">
        <f t="shared" si="9"/>
        <v>1043</v>
      </c>
      <c r="AB48" s="52">
        <v>1484</v>
      </c>
      <c r="AC48" s="52">
        <v>1000</v>
      </c>
      <c r="AD48" s="52">
        <v>363</v>
      </c>
      <c r="AE48" s="52">
        <v>121</v>
      </c>
      <c r="AF48" s="55">
        <f t="shared" si="11"/>
        <v>2968</v>
      </c>
      <c r="AG48" s="52">
        <v>1590</v>
      </c>
      <c r="AH48" s="52">
        <v>2135</v>
      </c>
      <c r="AI48" s="52">
        <v>1878</v>
      </c>
      <c r="AJ48" s="52">
        <v>1349</v>
      </c>
      <c r="AK48" s="55">
        <f t="shared" si="13"/>
        <v>6952</v>
      </c>
      <c r="AL48" s="56">
        <f t="shared" si="14"/>
        <v>0.36759970274956649</v>
      </c>
      <c r="AM48" s="56">
        <f t="shared" si="15"/>
        <v>0.28985507246376813</v>
      </c>
      <c r="AN48" s="56">
        <f t="shared" si="16"/>
        <v>0.15427114322141947</v>
      </c>
      <c r="AO48" s="56">
        <f t="shared" si="17"/>
        <v>8.0291970802919707E-2</v>
      </c>
      <c r="AP48" s="57">
        <f t="shared" si="18"/>
        <v>0.26156693399136338</v>
      </c>
      <c r="AQ48" s="56">
        <f t="shared" si="19"/>
        <v>0.39385682437453556</v>
      </c>
      <c r="AR48" s="56">
        <f t="shared" si="20"/>
        <v>0.61884057971014494</v>
      </c>
      <c r="AS48" s="56">
        <f t="shared" si="21"/>
        <v>0.79813004674883126</v>
      </c>
      <c r="AT48" s="56">
        <f t="shared" si="22"/>
        <v>0.89515593895155943</v>
      </c>
      <c r="AU48" s="57">
        <f t="shared" si="23"/>
        <v>0.61267295320348991</v>
      </c>
      <c r="AV48" s="52">
        <v>1943</v>
      </c>
      <c r="AW48" s="52">
        <v>2295</v>
      </c>
      <c r="AX48" s="52">
        <v>1839</v>
      </c>
      <c r="AY48" s="52">
        <v>1282</v>
      </c>
      <c r="AZ48" s="58">
        <f t="shared" si="25"/>
        <v>7359</v>
      </c>
      <c r="BA48" s="52">
        <v>1685</v>
      </c>
      <c r="BB48" s="52">
        <v>1886</v>
      </c>
      <c r="BC48" s="52">
        <v>1613</v>
      </c>
      <c r="BD48" s="52">
        <v>1189</v>
      </c>
      <c r="BE48" s="59">
        <f t="shared" si="27"/>
        <v>6373</v>
      </c>
      <c r="BF48" s="52">
        <v>1305</v>
      </c>
      <c r="BG48" s="52">
        <v>1652</v>
      </c>
      <c r="BH48" s="52">
        <v>1455</v>
      </c>
      <c r="BI48" s="52">
        <v>1080</v>
      </c>
      <c r="BJ48" s="60">
        <f t="shared" si="29"/>
        <v>5492</v>
      </c>
      <c r="BK48" s="52">
        <v>862</v>
      </c>
      <c r="BL48" s="52">
        <v>1138</v>
      </c>
      <c r="BM48" s="52">
        <v>1089</v>
      </c>
      <c r="BN48" s="52">
        <v>844</v>
      </c>
      <c r="BO48" s="55">
        <f t="shared" si="31"/>
        <v>3933</v>
      </c>
      <c r="BP48" s="61"/>
      <c r="BQ48" s="62">
        <f t="shared" si="32"/>
        <v>0.48129799355957392</v>
      </c>
      <c r="BR48" s="62">
        <f t="shared" si="33"/>
        <v>0.66521739130434787</v>
      </c>
      <c r="BS48" s="62">
        <f t="shared" si="34"/>
        <v>0.78155546111347218</v>
      </c>
      <c r="BT48" s="62">
        <f t="shared" si="35"/>
        <v>0.85069674850696753</v>
      </c>
      <c r="BU48" s="63">
        <f t="shared" si="36"/>
        <v>0.64854146470432716</v>
      </c>
      <c r="BV48" s="62">
        <f t="shared" si="37"/>
        <v>0.41738915035917762</v>
      </c>
      <c r="BW48" s="62">
        <f t="shared" si="38"/>
        <v>0.54666666666666663</v>
      </c>
      <c r="BX48" s="62">
        <f t="shared" si="39"/>
        <v>0.68550786230344241</v>
      </c>
      <c r="BY48" s="62">
        <f t="shared" si="40"/>
        <v>0.78898473788984735</v>
      </c>
      <c r="BZ48" s="64">
        <f t="shared" si="41"/>
        <v>0.56164625011016123</v>
      </c>
      <c r="CA48" s="62">
        <f t="shared" si="42"/>
        <v>0.32325984642060934</v>
      </c>
      <c r="CB48" s="62">
        <f t="shared" si="43"/>
        <v>0.47884057971014493</v>
      </c>
      <c r="CC48" s="62">
        <f t="shared" si="44"/>
        <v>0.61835954101147472</v>
      </c>
      <c r="CD48" s="62">
        <f t="shared" si="45"/>
        <v>0.71665560716655607</v>
      </c>
      <c r="CE48" s="65">
        <f t="shared" si="46"/>
        <v>0.48400458270908608</v>
      </c>
      <c r="CF48" s="62">
        <f t="shared" si="47"/>
        <v>0.21352489472380481</v>
      </c>
      <c r="CG48" s="62">
        <f t="shared" si="48"/>
        <v>0.32985507246376811</v>
      </c>
      <c r="CH48" s="62">
        <f t="shared" si="49"/>
        <v>0.46281342966425837</v>
      </c>
      <c r="CI48" s="62">
        <f t="shared" si="50"/>
        <v>0.56005308560053091</v>
      </c>
      <c r="CJ48" s="66">
        <f t="shared" si="51"/>
        <v>0.34661143914691106</v>
      </c>
      <c r="CK48" s="62">
        <f t="shared" si="100"/>
        <v>0.35886797126579145</v>
      </c>
      <c r="CL48" s="62">
        <f t="shared" si="100"/>
        <v>0.50514492753623186</v>
      </c>
      <c r="CM48" s="62">
        <f t="shared" si="100"/>
        <v>0.63705907352316193</v>
      </c>
      <c r="CN48" s="62">
        <f t="shared" si="100"/>
        <v>0.72909754479097544</v>
      </c>
      <c r="CO48" s="67">
        <f t="shared" si="53"/>
        <v>0.51020093416762136</v>
      </c>
      <c r="CP48" s="48"/>
    </row>
    <row r="49" spans="1:94" ht="30.75" customHeight="1" x14ac:dyDescent="0.3">
      <c r="A49" s="49">
        <v>36</v>
      </c>
      <c r="B49" s="50" t="s">
        <v>83</v>
      </c>
      <c r="C49" s="50" t="s">
        <v>86</v>
      </c>
      <c r="D49" s="51">
        <v>45901</v>
      </c>
      <c r="E49" s="52">
        <v>52</v>
      </c>
      <c r="F49" s="52">
        <v>52</v>
      </c>
      <c r="G49" s="53">
        <f t="shared" si="1"/>
        <v>1</v>
      </c>
      <c r="H49" s="52">
        <v>2746</v>
      </c>
      <c r="I49" s="52">
        <v>2806</v>
      </c>
      <c r="J49" s="52">
        <v>2329</v>
      </c>
      <c r="K49" s="52">
        <v>1489</v>
      </c>
      <c r="L49" s="54">
        <f t="shared" si="3"/>
        <v>9370</v>
      </c>
      <c r="M49" s="52">
        <v>2629</v>
      </c>
      <c r="N49" s="52">
        <v>2720</v>
      </c>
      <c r="O49" s="52">
        <v>2203</v>
      </c>
      <c r="P49" s="52">
        <v>1425</v>
      </c>
      <c r="Q49" s="54">
        <f t="shared" si="5"/>
        <v>8977</v>
      </c>
      <c r="R49" s="52">
        <v>276</v>
      </c>
      <c r="S49" s="52">
        <v>91</v>
      </c>
      <c r="T49" s="52">
        <v>17</v>
      </c>
      <c r="U49" s="52">
        <v>2</v>
      </c>
      <c r="V49" s="55">
        <f t="shared" si="7"/>
        <v>386</v>
      </c>
      <c r="W49" s="52">
        <v>660</v>
      </c>
      <c r="X49" s="52">
        <v>279</v>
      </c>
      <c r="Y49" s="52">
        <v>78</v>
      </c>
      <c r="Z49" s="52">
        <v>20</v>
      </c>
      <c r="AA49" s="55">
        <f t="shared" si="9"/>
        <v>1037</v>
      </c>
      <c r="AB49" s="52">
        <v>988</v>
      </c>
      <c r="AC49" s="52">
        <v>927</v>
      </c>
      <c r="AD49" s="52">
        <v>370</v>
      </c>
      <c r="AE49" s="52">
        <v>98</v>
      </c>
      <c r="AF49" s="55">
        <f t="shared" si="11"/>
        <v>2383</v>
      </c>
      <c r="AG49" s="52">
        <v>705</v>
      </c>
      <c r="AH49" s="52">
        <v>1423</v>
      </c>
      <c r="AI49" s="52">
        <v>1738</v>
      </c>
      <c r="AJ49" s="52">
        <v>1305</v>
      </c>
      <c r="AK49" s="55">
        <f t="shared" si="13"/>
        <v>5171</v>
      </c>
      <c r="AL49" s="56">
        <f t="shared" si="14"/>
        <v>0.37580829212628375</v>
      </c>
      <c r="AM49" s="56">
        <f t="shared" si="15"/>
        <v>0.34080882352941178</v>
      </c>
      <c r="AN49" s="56">
        <f t="shared" si="16"/>
        <v>0.16795279164775306</v>
      </c>
      <c r="AO49" s="56">
        <f t="shared" si="17"/>
        <v>6.8771929824561401E-2</v>
      </c>
      <c r="AP49" s="57">
        <f t="shared" si="18"/>
        <v>0.26545616575693437</v>
      </c>
      <c r="AQ49" s="56">
        <f t="shared" si="19"/>
        <v>0.26816279954355265</v>
      </c>
      <c r="AR49" s="56">
        <f t="shared" si="20"/>
        <v>0.52316176470588238</v>
      </c>
      <c r="AS49" s="56">
        <f t="shared" si="21"/>
        <v>0.78892419428052651</v>
      </c>
      <c r="AT49" s="56">
        <f t="shared" si="22"/>
        <v>0.91578947368421049</v>
      </c>
      <c r="AU49" s="57">
        <f t="shared" si="23"/>
        <v>0.57602762615573133</v>
      </c>
      <c r="AV49" s="52">
        <v>1273</v>
      </c>
      <c r="AW49" s="52">
        <v>1808</v>
      </c>
      <c r="AX49" s="52">
        <v>1893</v>
      </c>
      <c r="AY49" s="52">
        <v>1357</v>
      </c>
      <c r="AZ49" s="58">
        <f t="shared" si="25"/>
        <v>6331</v>
      </c>
      <c r="BA49" s="52">
        <v>1095</v>
      </c>
      <c r="BB49" s="52">
        <v>1522</v>
      </c>
      <c r="BC49" s="52">
        <v>1613</v>
      </c>
      <c r="BD49" s="52">
        <v>1261</v>
      </c>
      <c r="BE49" s="59">
        <f t="shared" si="27"/>
        <v>5491</v>
      </c>
      <c r="BF49" s="52">
        <v>724</v>
      </c>
      <c r="BG49" s="52">
        <v>1224</v>
      </c>
      <c r="BH49" s="52">
        <v>1319</v>
      </c>
      <c r="BI49" s="52">
        <v>1179</v>
      </c>
      <c r="BJ49" s="60">
        <f t="shared" si="29"/>
        <v>4446</v>
      </c>
      <c r="BK49" s="52">
        <v>286</v>
      </c>
      <c r="BL49" s="52">
        <v>688</v>
      </c>
      <c r="BM49" s="52">
        <v>899</v>
      </c>
      <c r="BN49" s="52">
        <v>1002</v>
      </c>
      <c r="BO49" s="55">
        <f t="shared" si="31"/>
        <v>2875</v>
      </c>
      <c r="BP49" s="61"/>
      <c r="BQ49" s="62">
        <f t="shared" si="32"/>
        <v>0.48421453023963484</v>
      </c>
      <c r="BR49" s="62">
        <f t="shared" si="33"/>
        <v>0.66470588235294115</v>
      </c>
      <c r="BS49" s="62">
        <f t="shared" si="34"/>
        <v>0.85928279618701775</v>
      </c>
      <c r="BT49" s="62">
        <f t="shared" si="35"/>
        <v>0.95228070175438595</v>
      </c>
      <c r="BU49" s="63">
        <f t="shared" si="36"/>
        <v>0.7052467416731647</v>
      </c>
      <c r="BV49" s="62">
        <f t="shared" si="37"/>
        <v>0.41650817801445417</v>
      </c>
      <c r="BW49" s="62">
        <f t="shared" si="38"/>
        <v>0.55955882352941178</v>
      </c>
      <c r="BX49" s="62">
        <f t="shared" si="39"/>
        <v>0.73218338629142077</v>
      </c>
      <c r="BY49" s="62">
        <f t="shared" si="40"/>
        <v>0.88491228070175443</v>
      </c>
      <c r="BZ49" s="64">
        <f t="shared" si="41"/>
        <v>0.61167427871226465</v>
      </c>
      <c r="CA49" s="62">
        <f t="shared" si="42"/>
        <v>0.27538988208444276</v>
      </c>
      <c r="CB49" s="62">
        <f t="shared" si="43"/>
        <v>0.45</v>
      </c>
      <c r="CC49" s="62">
        <f t="shared" si="44"/>
        <v>0.59872900590104405</v>
      </c>
      <c r="CD49" s="62">
        <f t="shared" si="45"/>
        <v>0.82736842105263153</v>
      </c>
      <c r="CE49" s="65">
        <f t="shared" si="46"/>
        <v>0.49526567895733542</v>
      </c>
      <c r="CF49" s="62">
        <f t="shared" si="47"/>
        <v>0.10878661087866109</v>
      </c>
      <c r="CG49" s="62">
        <f t="shared" si="48"/>
        <v>0.25294117647058822</v>
      </c>
      <c r="CH49" s="62">
        <f t="shared" si="49"/>
        <v>0.40807989105764864</v>
      </c>
      <c r="CI49" s="62">
        <f t="shared" si="50"/>
        <v>0.70315789473684209</v>
      </c>
      <c r="CJ49" s="66">
        <f t="shared" si="51"/>
        <v>0.32026289406260444</v>
      </c>
      <c r="CK49" s="62">
        <f t="shared" si="100"/>
        <v>0.32122480030429817</v>
      </c>
      <c r="CL49" s="62">
        <f t="shared" si="100"/>
        <v>0.48180147058823525</v>
      </c>
      <c r="CM49" s="62">
        <f t="shared" si="100"/>
        <v>0.64956876985928291</v>
      </c>
      <c r="CN49" s="62">
        <f t="shared" si="100"/>
        <v>0.84192982456140353</v>
      </c>
      <c r="CO49" s="67">
        <f t="shared" si="53"/>
        <v>0.53311239835134239</v>
      </c>
      <c r="CP49" s="48"/>
    </row>
    <row r="50" spans="1:94" ht="30.75" customHeight="1" x14ac:dyDescent="0.3">
      <c r="A50" s="49">
        <v>37</v>
      </c>
      <c r="B50" s="50" t="s">
        <v>83</v>
      </c>
      <c r="C50" s="50" t="s">
        <v>87</v>
      </c>
      <c r="D50" s="51">
        <v>45901</v>
      </c>
      <c r="E50" s="52">
        <v>289</v>
      </c>
      <c r="F50" s="52">
        <v>288</v>
      </c>
      <c r="G50" s="53">
        <f t="shared" si="1"/>
        <v>0.9965397923875432</v>
      </c>
      <c r="H50" s="52">
        <v>9677</v>
      </c>
      <c r="I50" s="52">
        <v>8272</v>
      </c>
      <c r="J50" s="52">
        <v>6153</v>
      </c>
      <c r="K50" s="52">
        <v>4006</v>
      </c>
      <c r="L50" s="54">
        <f t="shared" si="3"/>
        <v>28108</v>
      </c>
      <c r="M50" s="52">
        <v>8971</v>
      </c>
      <c r="N50" s="52">
        <v>7718</v>
      </c>
      <c r="O50" s="52">
        <v>5792</v>
      </c>
      <c r="P50" s="52">
        <v>3769</v>
      </c>
      <c r="Q50" s="54">
        <f t="shared" si="5"/>
        <v>26250</v>
      </c>
      <c r="R50" s="52">
        <v>1466</v>
      </c>
      <c r="S50" s="52">
        <v>214</v>
      </c>
      <c r="T50" s="52">
        <v>41</v>
      </c>
      <c r="U50" s="52">
        <v>1</v>
      </c>
      <c r="V50" s="55">
        <f t="shared" si="7"/>
        <v>1722</v>
      </c>
      <c r="W50" s="52">
        <v>2197</v>
      </c>
      <c r="X50" s="52">
        <v>827</v>
      </c>
      <c r="Y50" s="52">
        <v>173</v>
      </c>
      <c r="Z50" s="52">
        <v>28</v>
      </c>
      <c r="AA50" s="55">
        <f t="shared" si="9"/>
        <v>3225</v>
      </c>
      <c r="AB50" s="52">
        <v>2865</v>
      </c>
      <c r="AC50" s="52">
        <v>2458</v>
      </c>
      <c r="AD50" s="52">
        <v>941</v>
      </c>
      <c r="AE50" s="52">
        <v>145</v>
      </c>
      <c r="AF50" s="55">
        <f t="shared" si="11"/>
        <v>6409</v>
      </c>
      <c r="AG50" s="52">
        <v>2443</v>
      </c>
      <c r="AH50" s="52">
        <v>4219</v>
      </c>
      <c r="AI50" s="52">
        <v>4637</v>
      </c>
      <c r="AJ50" s="52">
        <v>3595</v>
      </c>
      <c r="AK50" s="55">
        <f t="shared" si="13"/>
        <v>14894</v>
      </c>
      <c r="AL50" s="56">
        <f t="shared" si="14"/>
        <v>0.31936238992308552</v>
      </c>
      <c r="AM50" s="56">
        <f t="shared" si="15"/>
        <v>0.31847628919409171</v>
      </c>
      <c r="AN50" s="56">
        <f t="shared" si="16"/>
        <v>0.16246546961325967</v>
      </c>
      <c r="AO50" s="56">
        <f t="shared" si="17"/>
        <v>3.847174316794906E-2</v>
      </c>
      <c r="AP50" s="57">
        <f t="shared" si="18"/>
        <v>0.24415238095238095</v>
      </c>
      <c r="AQ50" s="56">
        <f t="shared" si="19"/>
        <v>0.2723219262066659</v>
      </c>
      <c r="AR50" s="56">
        <f t="shared" si="20"/>
        <v>0.54664420834413063</v>
      </c>
      <c r="AS50" s="56">
        <f t="shared" si="21"/>
        <v>0.80058701657458564</v>
      </c>
      <c r="AT50" s="56">
        <f t="shared" si="22"/>
        <v>0.95383390819846114</v>
      </c>
      <c r="AU50" s="57">
        <f t="shared" si="23"/>
        <v>0.56739047619047622</v>
      </c>
      <c r="AV50" s="52">
        <v>4529</v>
      </c>
      <c r="AW50" s="52">
        <v>5357</v>
      </c>
      <c r="AX50" s="52">
        <v>4748</v>
      </c>
      <c r="AY50" s="52">
        <v>3503</v>
      </c>
      <c r="AZ50" s="58">
        <f t="shared" si="25"/>
        <v>18137</v>
      </c>
      <c r="BA50" s="52">
        <v>3494</v>
      </c>
      <c r="BB50" s="52">
        <v>3742</v>
      </c>
      <c r="BC50" s="52">
        <v>3361</v>
      </c>
      <c r="BD50" s="52">
        <v>2710</v>
      </c>
      <c r="BE50" s="59">
        <f t="shared" si="27"/>
        <v>13307</v>
      </c>
      <c r="BF50" s="52">
        <v>2562</v>
      </c>
      <c r="BG50" s="52">
        <v>3246</v>
      </c>
      <c r="BH50" s="52">
        <v>2832</v>
      </c>
      <c r="BI50" s="52">
        <v>2305</v>
      </c>
      <c r="BJ50" s="60">
        <f t="shared" si="29"/>
        <v>10945</v>
      </c>
      <c r="BK50" s="52">
        <v>1269</v>
      </c>
      <c r="BL50" s="52">
        <v>2051</v>
      </c>
      <c r="BM50" s="52">
        <v>1905</v>
      </c>
      <c r="BN50" s="52">
        <v>1643</v>
      </c>
      <c r="BO50" s="55">
        <f t="shared" si="31"/>
        <v>6868</v>
      </c>
      <c r="BP50" s="61"/>
      <c r="BQ50" s="62">
        <f t="shared" si="32"/>
        <v>0.50484895775275884</v>
      </c>
      <c r="BR50" s="62">
        <f t="shared" si="33"/>
        <v>0.69409173360974341</v>
      </c>
      <c r="BS50" s="62">
        <f t="shared" si="34"/>
        <v>0.81975138121546964</v>
      </c>
      <c r="BT50" s="62">
        <f t="shared" si="35"/>
        <v>0.92942425046431409</v>
      </c>
      <c r="BU50" s="63">
        <f t="shared" si="36"/>
        <v>0.69093333333333329</v>
      </c>
      <c r="BV50" s="62">
        <f t="shared" si="37"/>
        <v>0.3894772043250474</v>
      </c>
      <c r="BW50" s="62">
        <f t="shared" si="38"/>
        <v>0.48484063228815755</v>
      </c>
      <c r="BX50" s="62">
        <f t="shared" si="39"/>
        <v>0.58028314917127077</v>
      </c>
      <c r="BY50" s="62">
        <f t="shared" si="40"/>
        <v>0.71902361369063417</v>
      </c>
      <c r="BZ50" s="64">
        <f t="shared" si="41"/>
        <v>0.50693333333333335</v>
      </c>
      <c r="CA50" s="62">
        <f t="shared" si="42"/>
        <v>0.28558689109352359</v>
      </c>
      <c r="CB50" s="62">
        <f t="shared" si="43"/>
        <v>0.4205752785695776</v>
      </c>
      <c r="CC50" s="62">
        <f t="shared" si="44"/>
        <v>0.4889502762430939</v>
      </c>
      <c r="CD50" s="62">
        <f t="shared" si="45"/>
        <v>0.61156805518705226</v>
      </c>
      <c r="CE50" s="65">
        <f t="shared" si="46"/>
        <v>0.41695238095238096</v>
      </c>
      <c r="CF50" s="62">
        <f t="shared" si="47"/>
        <v>0.14145580202875935</v>
      </c>
      <c r="CG50" s="62">
        <f t="shared" si="48"/>
        <v>0.26574242031614409</v>
      </c>
      <c r="CH50" s="62">
        <f t="shared" si="49"/>
        <v>0.32890193370165743</v>
      </c>
      <c r="CI50" s="62">
        <f t="shared" si="50"/>
        <v>0.43592464844786416</v>
      </c>
      <c r="CJ50" s="66">
        <f t="shared" si="51"/>
        <v>0.26163809523809523</v>
      </c>
      <c r="CK50" s="62">
        <f t="shared" si="100"/>
        <v>0.33034221380002227</v>
      </c>
      <c r="CL50" s="62">
        <f t="shared" si="100"/>
        <v>0.46631251619590564</v>
      </c>
      <c r="CM50" s="62">
        <f t="shared" si="100"/>
        <v>0.55447168508287303</v>
      </c>
      <c r="CN50" s="62">
        <f t="shared" si="100"/>
        <v>0.67398514194746617</v>
      </c>
      <c r="CO50" s="67">
        <f t="shared" si="53"/>
        <v>0.46911428571428571</v>
      </c>
      <c r="CP50" s="48"/>
    </row>
    <row r="51" spans="1:94" ht="30.75" customHeight="1" x14ac:dyDescent="0.3">
      <c r="A51" s="49">
        <v>38</v>
      </c>
      <c r="B51" s="50" t="s">
        <v>83</v>
      </c>
      <c r="C51" s="50" t="s">
        <v>88</v>
      </c>
      <c r="D51" s="51">
        <v>45901</v>
      </c>
      <c r="E51" s="52">
        <v>278</v>
      </c>
      <c r="F51" s="52">
        <v>259</v>
      </c>
      <c r="G51" s="53">
        <f t="shared" si="1"/>
        <v>0.93165467625899279</v>
      </c>
      <c r="H51" s="52">
        <v>10828</v>
      </c>
      <c r="I51" s="52">
        <v>8178</v>
      </c>
      <c r="J51" s="52">
        <v>5950</v>
      </c>
      <c r="K51" s="52">
        <v>4117</v>
      </c>
      <c r="L51" s="54">
        <f t="shared" si="3"/>
        <v>29073</v>
      </c>
      <c r="M51" s="52">
        <v>9233</v>
      </c>
      <c r="N51" s="52">
        <v>7647</v>
      </c>
      <c r="O51" s="52">
        <v>5652</v>
      </c>
      <c r="P51" s="52">
        <v>3956</v>
      </c>
      <c r="Q51" s="54">
        <f t="shared" si="5"/>
        <v>26488</v>
      </c>
      <c r="R51" s="52">
        <v>1403</v>
      </c>
      <c r="S51" s="52">
        <v>348</v>
      </c>
      <c r="T51" s="52">
        <v>141</v>
      </c>
      <c r="U51" s="52">
        <v>23</v>
      </c>
      <c r="V51" s="55">
        <f t="shared" si="7"/>
        <v>1915</v>
      </c>
      <c r="W51" s="52">
        <v>2544</v>
      </c>
      <c r="X51" s="52">
        <v>1282</v>
      </c>
      <c r="Y51" s="52">
        <v>488</v>
      </c>
      <c r="Z51" s="52">
        <v>184</v>
      </c>
      <c r="AA51" s="55">
        <f t="shared" si="9"/>
        <v>4498</v>
      </c>
      <c r="AB51" s="52">
        <v>3548</v>
      </c>
      <c r="AC51" s="52">
        <v>2823</v>
      </c>
      <c r="AD51" s="52">
        <v>1414</v>
      </c>
      <c r="AE51" s="52">
        <v>675</v>
      </c>
      <c r="AF51" s="55">
        <f t="shared" si="11"/>
        <v>8460</v>
      </c>
      <c r="AG51" s="52">
        <v>1738</v>
      </c>
      <c r="AH51" s="52">
        <v>3194</v>
      </c>
      <c r="AI51" s="52">
        <v>3609</v>
      </c>
      <c r="AJ51" s="52">
        <v>3074</v>
      </c>
      <c r="AK51" s="55">
        <f t="shared" si="13"/>
        <v>11615</v>
      </c>
      <c r="AL51" s="56">
        <f t="shared" si="14"/>
        <v>0.38427380049821291</v>
      </c>
      <c r="AM51" s="56">
        <f t="shared" si="15"/>
        <v>0.36916437818752451</v>
      </c>
      <c r="AN51" s="56">
        <f t="shared" si="16"/>
        <v>0.25017692852087758</v>
      </c>
      <c r="AO51" s="56">
        <f t="shared" si="17"/>
        <v>0.17062689585439839</v>
      </c>
      <c r="AP51" s="57">
        <f t="shared" si="18"/>
        <v>0.31938991241316822</v>
      </c>
      <c r="AQ51" s="56">
        <f t="shared" si="19"/>
        <v>0.18823784252139067</v>
      </c>
      <c r="AR51" s="56">
        <f t="shared" si="20"/>
        <v>0.41768013600104614</v>
      </c>
      <c r="AS51" s="56">
        <f t="shared" si="21"/>
        <v>0.63853503184713378</v>
      </c>
      <c r="AT51" s="56">
        <f t="shared" si="22"/>
        <v>0.77704752275025279</v>
      </c>
      <c r="AU51" s="57">
        <f t="shared" si="23"/>
        <v>0.43850045303533675</v>
      </c>
      <c r="AV51" s="52">
        <v>3686</v>
      </c>
      <c r="AW51" s="52">
        <v>4077</v>
      </c>
      <c r="AX51" s="52">
        <v>3551</v>
      </c>
      <c r="AY51" s="52">
        <v>2765</v>
      </c>
      <c r="AZ51" s="58">
        <f t="shared" si="25"/>
        <v>14079</v>
      </c>
      <c r="BA51" s="52">
        <v>3340</v>
      </c>
      <c r="BB51" s="52">
        <v>3355</v>
      </c>
      <c r="BC51" s="52">
        <v>3092</v>
      </c>
      <c r="BD51" s="52">
        <v>2493</v>
      </c>
      <c r="BE51" s="59">
        <f t="shared" si="27"/>
        <v>12280</v>
      </c>
      <c r="BF51" s="52">
        <v>2922</v>
      </c>
      <c r="BG51" s="52">
        <v>3017</v>
      </c>
      <c r="BH51" s="52">
        <v>3103</v>
      </c>
      <c r="BI51" s="52">
        <v>2460</v>
      </c>
      <c r="BJ51" s="60">
        <f t="shared" si="29"/>
        <v>11502</v>
      </c>
      <c r="BK51" s="52">
        <v>2189</v>
      </c>
      <c r="BL51" s="52">
        <v>2238</v>
      </c>
      <c r="BM51" s="52">
        <v>2159</v>
      </c>
      <c r="BN51" s="52">
        <v>1790</v>
      </c>
      <c r="BO51" s="55">
        <f t="shared" si="31"/>
        <v>8376</v>
      </c>
      <c r="BP51" s="61"/>
      <c r="BQ51" s="62">
        <f t="shared" si="32"/>
        <v>0.39922018845445684</v>
      </c>
      <c r="BR51" s="62">
        <f t="shared" si="33"/>
        <v>0.53315025500196156</v>
      </c>
      <c r="BS51" s="62">
        <f t="shared" si="34"/>
        <v>0.62827317763623491</v>
      </c>
      <c r="BT51" s="62">
        <f t="shared" si="35"/>
        <v>0.69893832153690594</v>
      </c>
      <c r="BU51" s="63">
        <f t="shared" si="36"/>
        <v>0.53152370884929023</v>
      </c>
      <c r="BV51" s="62">
        <f t="shared" si="37"/>
        <v>0.36174591140474388</v>
      </c>
      <c r="BW51" s="62">
        <f t="shared" si="38"/>
        <v>0.43873414410880085</v>
      </c>
      <c r="BX51" s="62">
        <f t="shared" si="39"/>
        <v>0.54706298655343244</v>
      </c>
      <c r="BY51" s="62">
        <f t="shared" si="40"/>
        <v>0.63018200202224472</v>
      </c>
      <c r="BZ51" s="64">
        <f t="shared" si="41"/>
        <v>0.46360616128057991</v>
      </c>
      <c r="CA51" s="62">
        <f t="shared" si="42"/>
        <v>0.31647351889959924</v>
      </c>
      <c r="CB51" s="62">
        <f t="shared" si="43"/>
        <v>0.39453380410618544</v>
      </c>
      <c r="CC51" s="62">
        <f t="shared" si="44"/>
        <v>0.54900920028308564</v>
      </c>
      <c r="CD51" s="62">
        <f t="shared" si="45"/>
        <v>0.621840242669363</v>
      </c>
      <c r="CE51" s="65">
        <f t="shared" si="46"/>
        <v>0.43423437028088191</v>
      </c>
      <c r="CF51" s="62">
        <f t="shared" si="47"/>
        <v>0.2370843712769414</v>
      </c>
      <c r="CG51" s="62">
        <f t="shared" si="48"/>
        <v>0.2926637897214594</v>
      </c>
      <c r="CH51" s="62">
        <f t="shared" si="49"/>
        <v>0.38198867657466384</v>
      </c>
      <c r="CI51" s="62">
        <f t="shared" si="50"/>
        <v>0.45247724974721942</v>
      </c>
      <c r="CJ51" s="66">
        <f t="shared" si="51"/>
        <v>0.31621866505587437</v>
      </c>
      <c r="CK51" s="62">
        <f t="shared" ref="CK51:CN66" si="123">IFERROR((BQ51+BV51+CA51+CF51)/4,"")</f>
        <v>0.32863099750893537</v>
      </c>
      <c r="CL51" s="62">
        <f t="shared" si="123"/>
        <v>0.41477049823460183</v>
      </c>
      <c r="CM51" s="62">
        <f t="shared" si="123"/>
        <v>0.52658351026185413</v>
      </c>
      <c r="CN51" s="62">
        <f t="shared" si="123"/>
        <v>0.60085945399393326</v>
      </c>
      <c r="CO51" s="67">
        <f t="shared" si="53"/>
        <v>0.43639572636665658</v>
      </c>
      <c r="CP51" s="48"/>
    </row>
    <row r="52" spans="1:94" ht="30.75" customHeight="1" x14ac:dyDescent="0.3">
      <c r="A52" s="36" t="s">
        <v>89</v>
      </c>
      <c r="B52" s="37"/>
      <c r="C52" s="38"/>
      <c r="D52" s="39"/>
      <c r="E52" s="40">
        <f t="shared" ref="E52:F52" si="124">SUM(E53:E55)</f>
        <v>667</v>
      </c>
      <c r="F52" s="40">
        <f t="shared" si="124"/>
        <v>348</v>
      </c>
      <c r="G52" s="41">
        <f t="shared" si="1"/>
        <v>0.52173913043478259</v>
      </c>
      <c r="H52" s="40">
        <f t="shared" ref="H52:K52" si="125">SUM(H53:H55)</f>
        <v>10304</v>
      </c>
      <c r="I52" s="40">
        <f t="shared" si="125"/>
        <v>7449</v>
      </c>
      <c r="J52" s="40">
        <f t="shared" si="125"/>
        <v>4001</v>
      </c>
      <c r="K52" s="40">
        <f t="shared" si="125"/>
        <v>2263</v>
      </c>
      <c r="L52" s="42">
        <f t="shared" si="3"/>
        <v>24017</v>
      </c>
      <c r="M52" s="40">
        <f t="shared" ref="M52:P52" si="126">SUM(M53:M55)</f>
        <v>9684</v>
      </c>
      <c r="N52" s="40">
        <f t="shared" si="126"/>
        <v>7013</v>
      </c>
      <c r="O52" s="40">
        <f t="shared" si="126"/>
        <v>3782</v>
      </c>
      <c r="P52" s="40">
        <f t="shared" si="126"/>
        <v>2182</v>
      </c>
      <c r="Q52" s="42">
        <f t="shared" si="5"/>
        <v>22661</v>
      </c>
      <c r="R52" s="40">
        <f t="shared" ref="R52:U52" si="127">SUM(R53:R55)</f>
        <v>755</v>
      </c>
      <c r="S52" s="40">
        <f t="shared" si="127"/>
        <v>134</v>
      </c>
      <c r="T52" s="40">
        <f t="shared" si="127"/>
        <v>13</v>
      </c>
      <c r="U52" s="40">
        <f t="shared" si="127"/>
        <v>0</v>
      </c>
      <c r="V52" s="43">
        <f t="shared" si="7"/>
        <v>902</v>
      </c>
      <c r="W52" s="40">
        <f t="shared" ref="W52:Z52" si="128">SUM(W53:W55)</f>
        <v>1492</v>
      </c>
      <c r="X52" s="40">
        <f t="shared" si="128"/>
        <v>722</v>
      </c>
      <c r="Y52" s="40">
        <f t="shared" si="128"/>
        <v>64</v>
      </c>
      <c r="Z52" s="40">
        <f t="shared" si="128"/>
        <v>4</v>
      </c>
      <c r="AA52" s="43">
        <f t="shared" si="9"/>
        <v>2282</v>
      </c>
      <c r="AB52" s="40">
        <f t="shared" ref="AB52:AE52" si="129">SUM(AB53:AB55)</f>
        <v>3568</v>
      </c>
      <c r="AC52" s="40">
        <f t="shared" si="129"/>
        <v>2172</v>
      </c>
      <c r="AD52" s="40">
        <f t="shared" si="129"/>
        <v>878</v>
      </c>
      <c r="AE52" s="40">
        <f t="shared" si="129"/>
        <v>256</v>
      </c>
      <c r="AF52" s="43">
        <f t="shared" si="11"/>
        <v>6874</v>
      </c>
      <c r="AG52" s="40">
        <f t="shared" ref="AG52:AJ52" si="130">SUM(AG53:AG55)</f>
        <v>3869</v>
      </c>
      <c r="AH52" s="40">
        <f t="shared" si="130"/>
        <v>3985</v>
      </c>
      <c r="AI52" s="40">
        <f t="shared" si="130"/>
        <v>2825</v>
      </c>
      <c r="AJ52" s="40">
        <f t="shared" si="130"/>
        <v>1922</v>
      </c>
      <c r="AK52" s="43">
        <f t="shared" si="13"/>
        <v>12601</v>
      </c>
      <c r="AL52" s="44">
        <f t="shared" si="14"/>
        <v>0.36844279223461379</v>
      </c>
      <c r="AM52" s="44">
        <f t="shared" si="15"/>
        <v>0.30971053757307859</v>
      </c>
      <c r="AN52" s="44">
        <f t="shared" si="16"/>
        <v>0.23215230037017451</v>
      </c>
      <c r="AO52" s="44">
        <f t="shared" si="17"/>
        <v>0.11732355637030248</v>
      </c>
      <c r="AP52" s="44">
        <f t="shared" si="18"/>
        <v>0.30334054101760732</v>
      </c>
      <c r="AQ52" s="44">
        <f t="shared" si="19"/>
        <v>0.39952498967368855</v>
      </c>
      <c r="AR52" s="44">
        <f t="shared" si="20"/>
        <v>0.56823042920290889</v>
      </c>
      <c r="AS52" s="44">
        <f t="shared" si="21"/>
        <v>0.74695928080380747</v>
      </c>
      <c r="AT52" s="44">
        <f t="shared" si="22"/>
        <v>0.88084326306141159</v>
      </c>
      <c r="AU52" s="44">
        <f t="shared" si="23"/>
        <v>0.55606548695997526</v>
      </c>
      <c r="AV52" s="40">
        <f t="shared" ref="AV52:AY52" si="131">SUM(AV53:AV55)</f>
        <v>5102</v>
      </c>
      <c r="AW52" s="40">
        <f t="shared" si="131"/>
        <v>4644</v>
      </c>
      <c r="AX52" s="40">
        <f t="shared" si="131"/>
        <v>3000</v>
      </c>
      <c r="AY52" s="40">
        <f t="shared" si="131"/>
        <v>1867</v>
      </c>
      <c r="AZ52" s="43">
        <f t="shared" si="25"/>
        <v>14613</v>
      </c>
      <c r="BA52" s="40">
        <f t="shared" ref="BA52:BD52" si="132">SUM(BA53:BA55)</f>
        <v>4422</v>
      </c>
      <c r="BB52" s="40">
        <f t="shared" si="132"/>
        <v>3994</v>
      </c>
      <c r="BC52" s="40">
        <f t="shared" si="132"/>
        <v>2784</v>
      </c>
      <c r="BD52" s="40">
        <f t="shared" si="132"/>
        <v>1770</v>
      </c>
      <c r="BE52" s="43">
        <f t="shared" si="27"/>
        <v>12970</v>
      </c>
      <c r="BF52" s="40">
        <f t="shared" ref="BF52:BI52" si="133">SUM(BF53:BF55)</f>
        <v>2829</v>
      </c>
      <c r="BG52" s="40">
        <f t="shared" si="133"/>
        <v>3046</v>
      </c>
      <c r="BH52" s="40">
        <f t="shared" si="133"/>
        <v>2318</v>
      </c>
      <c r="BI52" s="40">
        <f t="shared" si="133"/>
        <v>1642</v>
      </c>
      <c r="BJ52" s="43">
        <f t="shared" si="29"/>
        <v>9835</v>
      </c>
      <c r="BK52" s="40">
        <f t="shared" ref="BK52:BN52" si="134">SUM(BK53:BK55)</f>
        <v>1913</v>
      </c>
      <c r="BL52" s="40">
        <f t="shared" si="134"/>
        <v>2146</v>
      </c>
      <c r="BM52" s="40">
        <f t="shared" si="134"/>
        <v>1813</v>
      </c>
      <c r="BN52" s="40">
        <f t="shared" si="134"/>
        <v>1370</v>
      </c>
      <c r="BO52" s="43">
        <f t="shared" si="31"/>
        <v>7242</v>
      </c>
      <c r="BP52" s="45"/>
      <c r="BQ52" s="46">
        <f t="shared" si="32"/>
        <v>0.52684840974803804</v>
      </c>
      <c r="BR52" s="46">
        <f t="shared" si="33"/>
        <v>0.66219877370597457</v>
      </c>
      <c r="BS52" s="46">
        <f t="shared" si="34"/>
        <v>0.79323109465891062</v>
      </c>
      <c r="BT52" s="46">
        <f t="shared" si="35"/>
        <v>0.85563703024747939</v>
      </c>
      <c r="BU52" s="46">
        <f t="shared" si="36"/>
        <v>0.64485238956798019</v>
      </c>
      <c r="BV52" s="46">
        <f t="shared" si="37"/>
        <v>0.45662949194547708</v>
      </c>
      <c r="BW52" s="46">
        <f t="shared" si="38"/>
        <v>0.56951376015970345</v>
      </c>
      <c r="BX52" s="46">
        <f t="shared" si="39"/>
        <v>0.73611845584346902</v>
      </c>
      <c r="BY52" s="46">
        <f t="shared" si="40"/>
        <v>0.81118240146654441</v>
      </c>
      <c r="BZ52" s="47">
        <f t="shared" si="41"/>
        <v>0.57234896959533998</v>
      </c>
      <c r="CA52" s="46">
        <f t="shared" si="42"/>
        <v>0.29213135068153656</v>
      </c>
      <c r="CB52" s="46">
        <f t="shared" si="43"/>
        <v>0.43433623271068017</v>
      </c>
      <c r="CC52" s="46">
        <f t="shared" si="44"/>
        <v>0.61290322580645162</v>
      </c>
      <c r="CD52" s="46">
        <f t="shared" si="45"/>
        <v>0.75252062328139324</v>
      </c>
      <c r="CE52" s="47">
        <f t="shared" si="46"/>
        <v>0.43400556021358283</v>
      </c>
      <c r="CF52" s="46">
        <f t="shared" si="47"/>
        <v>0.19754233787691036</v>
      </c>
      <c r="CG52" s="46">
        <f t="shared" si="48"/>
        <v>0.30600313703122772</v>
      </c>
      <c r="CH52" s="46">
        <f t="shared" si="49"/>
        <v>0.47937599153886834</v>
      </c>
      <c r="CI52" s="46">
        <f t="shared" si="50"/>
        <v>0.62786434463794683</v>
      </c>
      <c r="CJ52" s="47">
        <f t="shared" si="51"/>
        <v>0.31957989497374345</v>
      </c>
      <c r="CK52" s="46">
        <f t="shared" si="123"/>
        <v>0.36828789756299052</v>
      </c>
      <c r="CL52" s="46">
        <f t="shared" si="123"/>
        <v>0.49301297590189647</v>
      </c>
      <c r="CM52" s="46">
        <f t="shared" si="123"/>
        <v>0.65540719196192487</v>
      </c>
      <c r="CN52" s="46">
        <f t="shared" si="123"/>
        <v>0.761801099908341</v>
      </c>
      <c r="CO52" s="47">
        <f t="shared" si="53"/>
        <v>0.4926967035876616</v>
      </c>
      <c r="CP52" s="48"/>
    </row>
    <row r="53" spans="1:94" ht="30.75" customHeight="1" x14ac:dyDescent="0.3">
      <c r="A53" s="49">
        <v>39</v>
      </c>
      <c r="B53" s="50" t="s">
        <v>90</v>
      </c>
      <c r="C53" s="50" t="s">
        <v>91</v>
      </c>
      <c r="D53" s="78">
        <v>45901</v>
      </c>
      <c r="E53" s="52">
        <v>443</v>
      </c>
      <c r="F53" s="52">
        <v>162</v>
      </c>
      <c r="G53" s="53">
        <f t="shared" si="1"/>
        <v>0.36568848758465011</v>
      </c>
      <c r="H53" s="52">
        <v>4705</v>
      </c>
      <c r="I53" s="52">
        <v>3603</v>
      </c>
      <c r="J53" s="52">
        <v>2064</v>
      </c>
      <c r="K53" s="52">
        <v>1210</v>
      </c>
      <c r="L53" s="54">
        <f t="shared" si="3"/>
        <v>11582</v>
      </c>
      <c r="M53" s="52">
        <v>4400</v>
      </c>
      <c r="N53" s="52">
        <v>3393</v>
      </c>
      <c r="O53" s="52">
        <v>1939</v>
      </c>
      <c r="P53" s="52">
        <v>1164</v>
      </c>
      <c r="Q53" s="54">
        <f t="shared" si="5"/>
        <v>10896</v>
      </c>
      <c r="R53" s="52">
        <v>139</v>
      </c>
      <c r="S53" s="52">
        <v>22</v>
      </c>
      <c r="T53" s="52">
        <v>1</v>
      </c>
      <c r="U53" s="52">
        <v>0</v>
      </c>
      <c r="V53" s="55">
        <f t="shared" si="7"/>
        <v>162</v>
      </c>
      <c r="W53" s="52">
        <v>644</v>
      </c>
      <c r="X53" s="52">
        <v>203</v>
      </c>
      <c r="Y53" s="52">
        <v>18</v>
      </c>
      <c r="Z53" s="52">
        <v>1</v>
      </c>
      <c r="AA53" s="55">
        <f t="shared" si="9"/>
        <v>866</v>
      </c>
      <c r="AB53" s="52">
        <v>1776</v>
      </c>
      <c r="AC53" s="52">
        <v>949</v>
      </c>
      <c r="AD53" s="52">
        <v>272</v>
      </c>
      <c r="AE53" s="52">
        <v>54</v>
      </c>
      <c r="AF53" s="55">
        <f t="shared" si="11"/>
        <v>3051</v>
      </c>
      <c r="AG53" s="52">
        <v>1841</v>
      </c>
      <c r="AH53" s="52">
        <v>2219</v>
      </c>
      <c r="AI53" s="52">
        <v>1646</v>
      </c>
      <c r="AJ53" s="52">
        <v>1109</v>
      </c>
      <c r="AK53" s="55">
        <f t="shared" si="13"/>
        <v>6815</v>
      </c>
      <c r="AL53" s="56">
        <f t="shared" si="14"/>
        <v>0.40363636363636363</v>
      </c>
      <c r="AM53" s="56">
        <f t="shared" si="15"/>
        <v>0.27969348659003829</v>
      </c>
      <c r="AN53" s="56">
        <f t="shared" si="16"/>
        <v>0.14027849406910778</v>
      </c>
      <c r="AO53" s="56">
        <f t="shared" si="17"/>
        <v>4.6391752577319589E-2</v>
      </c>
      <c r="AP53" s="57">
        <f t="shared" si="18"/>
        <v>0.28001101321585903</v>
      </c>
      <c r="AQ53" s="56">
        <f t="shared" si="19"/>
        <v>0.4184090909090909</v>
      </c>
      <c r="AR53" s="56">
        <f t="shared" si="20"/>
        <v>0.65399351606248157</v>
      </c>
      <c r="AS53" s="56">
        <f t="shared" si="21"/>
        <v>0.84889118102114491</v>
      </c>
      <c r="AT53" s="56">
        <f t="shared" si="22"/>
        <v>0.95274914089347074</v>
      </c>
      <c r="AU53" s="57">
        <f t="shared" si="23"/>
        <v>0.6254588839941263</v>
      </c>
      <c r="AV53" s="52">
        <v>2320</v>
      </c>
      <c r="AW53" s="52">
        <v>2457</v>
      </c>
      <c r="AX53" s="52">
        <v>1708</v>
      </c>
      <c r="AY53" s="52">
        <v>1126</v>
      </c>
      <c r="AZ53" s="58">
        <f t="shared" si="25"/>
        <v>7611</v>
      </c>
      <c r="BA53" s="52">
        <v>1961</v>
      </c>
      <c r="BB53" s="52">
        <v>2066</v>
      </c>
      <c r="BC53" s="52">
        <v>1591</v>
      </c>
      <c r="BD53" s="52">
        <v>1048</v>
      </c>
      <c r="BE53" s="59">
        <f t="shared" si="27"/>
        <v>6666</v>
      </c>
      <c r="BF53" s="52">
        <v>1163</v>
      </c>
      <c r="BG53" s="52">
        <v>1606</v>
      </c>
      <c r="BH53" s="52">
        <v>1307</v>
      </c>
      <c r="BI53" s="52">
        <v>984</v>
      </c>
      <c r="BJ53" s="60">
        <f t="shared" si="29"/>
        <v>5060</v>
      </c>
      <c r="BK53" s="52">
        <v>676</v>
      </c>
      <c r="BL53" s="52">
        <v>1078</v>
      </c>
      <c r="BM53" s="52">
        <v>972</v>
      </c>
      <c r="BN53" s="52">
        <v>820</v>
      </c>
      <c r="BO53" s="55">
        <f t="shared" si="31"/>
        <v>3546</v>
      </c>
      <c r="BP53" s="61"/>
      <c r="BQ53" s="62">
        <f t="shared" si="32"/>
        <v>0.52727272727272723</v>
      </c>
      <c r="BR53" s="62">
        <f t="shared" si="33"/>
        <v>0.72413793103448276</v>
      </c>
      <c r="BS53" s="62">
        <f t="shared" si="34"/>
        <v>0.88086642599277976</v>
      </c>
      <c r="BT53" s="62">
        <f t="shared" si="35"/>
        <v>0.96735395189003437</v>
      </c>
      <c r="BU53" s="63">
        <f t="shared" si="36"/>
        <v>0.69851321585903081</v>
      </c>
      <c r="BV53" s="62">
        <f t="shared" si="37"/>
        <v>0.44568181818181818</v>
      </c>
      <c r="BW53" s="62">
        <f t="shared" si="38"/>
        <v>0.60890067786619506</v>
      </c>
      <c r="BX53" s="62">
        <f t="shared" si="39"/>
        <v>0.82052604435275911</v>
      </c>
      <c r="BY53" s="62">
        <f t="shared" si="40"/>
        <v>0.90034364261168387</v>
      </c>
      <c r="BZ53" s="64">
        <f t="shared" si="41"/>
        <v>0.611784140969163</v>
      </c>
      <c r="CA53" s="62">
        <f t="shared" si="42"/>
        <v>0.26431818181818184</v>
      </c>
      <c r="CB53" s="62">
        <f t="shared" si="43"/>
        <v>0.4733274388446802</v>
      </c>
      <c r="CC53" s="62">
        <f t="shared" si="44"/>
        <v>0.67405879319236717</v>
      </c>
      <c r="CD53" s="62">
        <f t="shared" si="45"/>
        <v>0.84536082474226804</v>
      </c>
      <c r="CE53" s="65">
        <f t="shared" si="46"/>
        <v>0.46439060205580029</v>
      </c>
      <c r="CF53" s="62">
        <f t="shared" si="47"/>
        <v>0.15363636363636363</v>
      </c>
      <c r="CG53" s="62">
        <f t="shared" si="48"/>
        <v>0.31771293840259357</v>
      </c>
      <c r="CH53" s="62">
        <f t="shared" si="49"/>
        <v>0.50128932439401752</v>
      </c>
      <c r="CI53" s="62">
        <f t="shared" si="50"/>
        <v>0.70446735395189009</v>
      </c>
      <c r="CJ53" s="66">
        <f t="shared" si="51"/>
        <v>0.32544052863436124</v>
      </c>
      <c r="CK53" s="62">
        <f t="shared" si="123"/>
        <v>0.34772727272727272</v>
      </c>
      <c r="CL53" s="62">
        <f t="shared" si="123"/>
        <v>0.53101974653698791</v>
      </c>
      <c r="CM53" s="62">
        <f t="shared" si="123"/>
        <v>0.71918514698298086</v>
      </c>
      <c r="CN53" s="62">
        <f t="shared" si="123"/>
        <v>0.85438144329896915</v>
      </c>
      <c r="CO53" s="67">
        <f t="shared" si="53"/>
        <v>0.52503212187958881</v>
      </c>
      <c r="CP53" s="48"/>
    </row>
    <row r="54" spans="1:94" ht="30.75" customHeight="1" x14ac:dyDescent="0.3">
      <c r="A54" s="49">
        <v>40</v>
      </c>
      <c r="B54" s="50" t="s">
        <v>90</v>
      </c>
      <c r="C54" s="50" t="s">
        <v>92</v>
      </c>
      <c r="D54" s="71">
        <v>46082</v>
      </c>
      <c r="E54" s="52">
        <v>89</v>
      </c>
      <c r="F54" s="52">
        <v>74</v>
      </c>
      <c r="G54" s="53">
        <f t="shared" si="1"/>
        <v>0.8314606741573034</v>
      </c>
      <c r="H54" s="52">
        <v>2566</v>
      </c>
      <c r="I54" s="52">
        <v>1703</v>
      </c>
      <c r="J54" s="52">
        <v>786</v>
      </c>
      <c r="K54" s="52">
        <v>445</v>
      </c>
      <c r="L54" s="54">
        <f t="shared" si="3"/>
        <v>5500</v>
      </c>
      <c r="M54" s="52">
        <v>2505</v>
      </c>
      <c r="N54" s="52">
        <v>1661</v>
      </c>
      <c r="O54" s="52">
        <v>773</v>
      </c>
      <c r="P54" s="52">
        <v>435</v>
      </c>
      <c r="Q54" s="54">
        <f t="shared" ref="Q54" si="135">SUM(M54:P54)</f>
        <v>5374</v>
      </c>
      <c r="R54" s="52">
        <v>438</v>
      </c>
      <c r="S54" s="52">
        <v>55</v>
      </c>
      <c r="T54" s="52">
        <v>10</v>
      </c>
      <c r="U54" s="52">
        <v>0</v>
      </c>
      <c r="V54" s="55">
        <f t="shared" si="7"/>
        <v>503</v>
      </c>
      <c r="W54" s="52">
        <v>480</v>
      </c>
      <c r="X54" s="52">
        <v>392</v>
      </c>
      <c r="Y54" s="52">
        <v>32</v>
      </c>
      <c r="Z54" s="52">
        <v>0</v>
      </c>
      <c r="AA54" s="55">
        <f t="shared" si="9"/>
        <v>904</v>
      </c>
      <c r="AB54" s="52">
        <v>954</v>
      </c>
      <c r="AC54" s="52">
        <v>775</v>
      </c>
      <c r="AD54" s="52">
        <v>488</v>
      </c>
      <c r="AE54" s="52">
        <v>180</v>
      </c>
      <c r="AF54" s="55">
        <f t="shared" si="11"/>
        <v>2397</v>
      </c>
      <c r="AG54" s="52">
        <v>633</v>
      </c>
      <c r="AH54" s="52">
        <v>439</v>
      </c>
      <c r="AI54" s="52">
        <v>243</v>
      </c>
      <c r="AJ54" s="52">
        <v>255</v>
      </c>
      <c r="AK54" s="55">
        <f t="shared" si="13"/>
        <v>1570</v>
      </c>
      <c r="AL54" s="56">
        <f t="shared" si="14"/>
        <v>0.38083832335329343</v>
      </c>
      <c r="AM54" s="56">
        <f t="shared" si="15"/>
        <v>0.46658639373871164</v>
      </c>
      <c r="AN54" s="56">
        <f t="shared" si="16"/>
        <v>0.63130659767141006</v>
      </c>
      <c r="AO54" s="56">
        <f t="shared" si="17"/>
        <v>0.41379310344827586</v>
      </c>
      <c r="AP54" s="57">
        <f t="shared" si="18"/>
        <v>0.44603647190174917</v>
      </c>
      <c r="AQ54" s="56">
        <f t="shared" si="19"/>
        <v>0.25269461077844313</v>
      </c>
      <c r="AR54" s="56">
        <f t="shared" si="20"/>
        <v>0.26429861529199278</v>
      </c>
      <c r="AS54" s="56">
        <f t="shared" si="21"/>
        <v>0.314359637774903</v>
      </c>
      <c r="AT54" s="56">
        <f t="shared" si="22"/>
        <v>0.58620689655172409</v>
      </c>
      <c r="AU54" s="57">
        <f t="shared" si="23"/>
        <v>0.29214737625604764</v>
      </c>
      <c r="AV54" s="52">
        <v>899</v>
      </c>
      <c r="AW54" s="52">
        <v>674</v>
      </c>
      <c r="AX54" s="52">
        <v>368</v>
      </c>
      <c r="AY54" s="52">
        <v>216</v>
      </c>
      <c r="AZ54" s="58">
        <f t="shared" si="25"/>
        <v>2157</v>
      </c>
      <c r="BA54" s="52">
        <v>825</v>
      </c>
      <c r="BB54" s="52">
        <v>626</v>
      </c>
      <c r="BC54" s="52">
        <v>368</v>
      </c>
      <c r="BD54" s="52">
        <v>216</v>
      </c>
      <c r="BE54" s="59">
        <f t="shared" si="27"/>
        <v>2035</v>
      </c>
      <c r="BF54" s="52">
        <v>476</v>
      </c>
      <c r="BG54" s="52">
        <v>433</v>
      </c>
      <c r="BH54" s="52">
        <v>298</v>
      </c>
      <c r="BI54" s="52">
        <v>196</v>
      </c>
      <c r="BJ54" s="60">
        <f t="shared" si="29"/>
        <v>1403</v>
      </c>
      <c r="BK54" s="52">
        <v>468</v>
      </c>
      <c r="BL54" s="52">
        <v>407</v>
      </c>
      <c r="BM54" s="52">
        <v>268</v>
      </c>
      <c r="BN54" s="52">
        <v>190</v>
      </c>
      <c r="BO54" s="55">
        <f t="shared" si="31"/>
        <v>1333</v>
      </c>
      <c r="BP54" s="61"/>
      <c r="BQ54" s="62">
        <f t="shared" si="32"/>
        <v>0.35888223552894211</v>
      </c>
      <c r="BR54" s="62">
        <f t="shared" si="33"/>
        <v>0.4057796508127634</v>
      </c>
      <c r="BS54" s="62">
        <f t="shared" si="34"/>
        <v>0.47606727037516172</v>
      </c>
      <c r="BT54" s="62">
        <f t="shared" si="35"/>
        <v>0.49655172413793103</v>
      </c>
      <c r="BU54" s="63">
        <f t="shared" si="36"/>
        <v>0.40137700037216228</v>
      </c>
      <c r="BV54" s="62">
        <f t="shared" si="37"/>
        <v>0.32934131736526945</v>
      </c>
      <c r="BW54" s="62">
        <f t="shared" si="38"/>
        <v>0.37688139674894644</v>
      </c>
      <c r="BX54" s="62">
        <f t="shared" si="39"/>
        <v>0.47606727037516172</v>
      </c>
      <c r="BY54" s="62">
        <f t="shared" si="40"/>
        <v>0.49655172413793103</v>
      </c>
      <c r="BZ54" s="64">
        <f t="shared" si="41"/>
        <v>0.37867510234462226</v>
      </c>
      <c r="CA54" s="62">
        <f t="shared" si="42"/>
        <v>0.19001996007984032</v>
      </c>
      <c r="CB54" s="62">
        <f t="shared" si="43"/>
        <v>0.26068633353401566</v>
      </c>
      <c r="CC54" s="62">
        <f t="shared" si="44"/>
        <v>0.38551099611901679</v>
      </c>
      <c r="CD54" s="62">
        <f t="shared" si="45"/>
        <v>0.45057471264367815</v>
      </c>
      <c r="CE54" s="65">
        <f t="shared" si="46"/>
        <v>0.26107182731671008</v>
      </c>
      <c r="CF54" s="62">
        <f t="shared" si="47"/>
        <v>0.18682634730538922</v>
      </c>
      <c r="CG54" s="62">
        <f t="shared" si="48"/>
        <v>0.24503311258278146</v>
      </c>
      <c r="CH54" s="62">
        <f t="shared" si="49"/>
        <v>0.34670116429495473</v>
      </c>
      <c r="CI54" s="62">
        <f t="shared" si="50"/>
        <v>0.43678160919540232</v>
      </c>
      <c r="CJ54" s="66">
        <f t="shared" si="51"/>
        <v>0.24804614812058057</v>
      </c>
      <c r="CK54" s="62">
        <f t="shared" si="123"/>
        <v>0.26626746506986027</v>
      </c>
      <c r="CL54" s="62">
        <f t="shared" si="123"/>
        <v>0.32209512341962671</v>
      </c>
      <c r="CM54" s="62">
        <f t="shared" si="123"/>
        <v>0.42108667529107374</v>
      </c>
      <c r="CN54" s="62">
        <f t="shared" si="123"/>
        <v>0.47011494252873565</v>
      </c>
      <c r="CO54" s="67">
        <f t="shared" si="53"/>
        <v>0.32229251953851878</v>
      </c>
      <c r="CP54" s="48"/>
    </row>
    <row r="55" spans="1:94" ht="30.75" customHeight="1" x14ac:dyDescent="0.3">
      <c r="A55" s="49">
        <v>41</v>
      </c>
      <c r="B55" s="50" t="s">
        <v>90</v>
      </c>
      <c r="C55" s="50" t="s">
        <v>93</v>
      </c>
      <c r="D55" s="78">
        <v>45901</v>
      </c>
      <c r="E55" s="52">
        <v>135</v>
      </c>
      <c r="F55" s="52">
        <v>112</v>
      </c>
      <c r="G55" s="53">
        <f t="shared" si="1"/>
        <v>0.82962962962962961</v>
      </c>
      <c r="H55" s="52">
        <v>3033</v>
      </c>
      <c r="I55" s="52">
        <v>2143</v>
      </c>
      <c r="J55" s="52">
        <v>1151</v>
      </c>
      <c r="K55" s="52">
        <v>608</v>
      </c>
      <c r="L55" s="54">
        <f t="shared" si="3"/>
        <v>6935</v>
      </c>
      <c r="M55" s="52">
        <v>2779</v>
      </c>
      <c r="N55" s="52">
        <v>1959</v>
      </c>
      <c r="O55" s="52">
        <v>1070</v>
      </c>
      <c r="P55" s="52">
        <v>583</v>
      </c>
      <c r="Q55" s="54">
        <f t="shared" si="5"/>
        <v>6391</v>
      </c>
      <c r="R55" s="52">
        <v>178</v>
      </c>
      <c r="S55" s="52">
        <v>57</v>
      </c>
      <c r="T55" s="52">
        <v>2</v>
      </c>
      <c r="U55" s="52">
        <v>0</v>
      </c>
      <c r="V55" s="55">
        <f t="shared" si="7"/>
        <v>237</v>
      </c>
      <c r="W55" s="52">
        <v>368</v>
      </c>
      <c r="X55" s="52">
        <v>127</v>
      </c>
      <c r="Y55" s="52">
        <v>14</v>
      </c>
      <c r="Z55" s="52">
        <v>3</v>
      </c>
      <c r="AA55" s="55">
        <f t="shared" si="9"/>
        <v>512</v>
      </c>
      <c r="AB55" s="52">
        <v>838</v>
      </c>
      <c r="AC55" s="52">
        <v>448</v>
      </c>
      <c r="AD55" s="52">
        <v>118</v>
      </c>
      <c r="AE55" s="52">
        <v>22</v>
      </c>
      <c r="AF55" s="55">
        <f t="shared" si="11"/>
        <v>1426</v>
      </c>
      <c r="AG55" s="80">
        <v>1395</v>
      </c>
      <c r="AH55" s="80">
        <v>1327</v>
      </c>
      <c r="AI55" s="80">
        <v>936</v>
      </c>
      <c r="AJ55" s="80">
        <v>558</v>
      </c>
      <c r="AK55" s="55">
        <f t="shared" si="13"/>
        <v>4216</v>
      </c>
      <c r="AL55" s="56">
        <f t="shared" si="14"/>
        <v>0.30154731917956101</v>
      </c>
      <c r="AM55" s="56">
        <f t="shared" si="15"/>
        <v>0.22868810617662072</v>
      </c>
      <c r="AN55" s="56">
        <f t="shared" si="16"/>
        <v>0.1102803738317757</v>
      </c>
      <c r="AO55" s="56">
        <f t="shared" si="17"/>
        <v>3.7735849056603772E-2</v>
      </c>
      <c r="AP55" s="57">
        <f t="shared" si="18"/>
        <v>0.22312627131904239</v>
      </c>
      <c r="AQ55" s="56">
        <f t="shared" si="19"/>
        <v>0.50197912918315946</v>
      </c>
      <c r="AR55" s="56">
        <f t="shared" si="20"/>
        <v>0.67738642164369578</v>
      </c>
      <c r="AS55" s="56">
        <f t="shared" si="21"/>
        <v>0.87476635514018697</v>
      </c>
      <c r="AT55" s="56">
        <f t="shared" si="22"/>
        <v>0.95711835334476847</v>
      </c>
      <c r="AU55" s="57">
        <f t="shared" si="23"/>
        <v>0.65967767172586445</v>
      </c>
      <c r="AV55" s="52">
        <v>1883</v>
      </c>
      <c r="AW55" s="52">
        <v>1513</v>
      </c>
      <c r="AX55" s="52">
        <v>924</v>
      </c>
      <c r="AY55" s="52">
        <v>525</v>
      </c>
      <c r="AZ55" s="58">
        <f t="shared" si="25"/>
        <v>4845</v>
      </c>
      <c r="BA55" s="52">
        <v>1636</v>
      </c>
      <c r="BB55" s="52">
        <v>1302</v>
      </c>
      <c r="BC55" s="52">
        <v>825</v>
      </c>
      <c r="BD55" s="52">
        <v>506</v>
      </c>
      <c r="BE55" s="59">
        <f t="shared" si="27"/>
        <v>4269</v>
      </c>
      <c r="BF55" s="52">
        <v>1190</v>
      </c>
      <c r="BG55" s="52">
        <v>1007</v>
      </c>
      <c r="BH55" s="52">
        <v>713</v>
      </c>
      <c r="BI55" s="52">
        <v>462</v>
      </c>
      <c r="BJ55" s="60">
        <f t="shared" si="29"/>
        <v>3372</v>
      </c>
      <c r="BK55" s="52">
        <v>769</v>
      </c>
      <c r="BL55" s="52">
        <v>661</v>
      </c>
      <c r="BM55" s="52">
        <v>573</v>
      </c>
      <c r="BN55" s="52">
        <v>360</v>
      </c>
      <c r="BO55" s="55">
        <f t="shared" si="31"/>
        <v>2363</v>
      </c>
      <c r="BP55" s="61"/>
      <c r="BQ55" s="62">
        <f t="shared" si="32"/>
        <v>0.67758186397984888</v>
      </c>
      <c r="BR55" s="62">
        <f t="shared" si="33"/>
        <v>0.77233282286881066</v>
      </c>
      <c r="BS55" s="62">
        <f t="shared" si="34"/>
        <v>0.86355140186915891</v>
      </c>
      <c r="BT55" s="62">
        <f t="shared" si="35"/>
        <v>0.90051457975986282</v>
      </c>
      <c r="BU55" s="63">
        <f t="shared" si="36"/>
        <v>0.75809732436238464</v>
      </c>
      <c r="BV55" s="62">
        <f t="shared" si="37"/>
        <v>0.58870097157250811</v>
      </c>
      <c r="BW55" s="62">
        <f t="shared" si="38"/>
        <v>0.66462480857580397</v>
      </c>
      <c r="BX55" s="62">
        <f t="shared" si="39"/>
        <v>0.7710280373831776</v>
      </c>
      <c r="BY55" s="62">
        <f t="shared" si="40"/>
        <v>0.86792452830188682</v>
      </c>
      <c r="BZ55" s="64">
        <f t="shared" si="41"/>
        <v>0.66797058363323425</v>
      </c>
      <c r="CA55" s="62">
        <f t="shared" si="42"/>
        <v>0.4282115869017632</v>
      </c>
      <c r="CB55" s="62">
        <f t="shared" si="43"/>
        <v>0.51403777437468101</v>
      </c>
      <c r="CC55" s="62">
        <f t="shared" si="44"/>
        <v>0.66635514018691588</v>
      </c>
      <c r="CD55" s="62">
        <f t="shared" si="45"/>
        <v>0.79245283018867929</v>
      </c>
      <c r="CE55" s="65">
        <f t="shared" si="46"/>
        <v>0.52761696135190106</v>
      </c>
      <c r="CF55" s="62">
        <f t="shared" si="47"/>
        <v>0.27671824397265204</v>
      </c>
      <c r="CG55" s="62">
        <f t="shared" si="48"/>
        <v>0.33741704951505869</v>
      </c>
      <c r="CH55" s="62">
        <f t="shared" si="49"/>
        <v>0.53551401869158877</v>
      </c>
      <c r="CI55" s="62">
        <f t="shared" si="50"/>
        <v>0.61749571183533447</v>
      </c>
      <c r="CJ55" s="66">
        <f t="shared" si="51"/>
        <v>0.36973869503989987</v>
      </c>
      <c r="CK55" s="62">
        <f t="shared" si="123"/>
        <v>0.4928031666066931</v>
      </c>
      <c r="CL55" s="62">
        <f t="shared" si="123"/>
        <v>0.57210311383358858</v>
      </c>
      <c r="CM55" s="62">
        <f t="shared" si="123"/>
        <v>0.70911214953271029</v>
      </c>
      <c r="CN55" s="62">
        <f t="shared" si="123"/>
        <v>0.79459691252144093</v>
      </c>
      <c r="CO55" s="67">
        <f t="shared" si="53"/>
        <v>0.58085589109685498</v>
      </c>
      <c r="CP55" s="48"/>
    </row>
    <row r="56" spans="1:94" ht="30.75" customHeight="1" x14ac:dyDescent="0.3">
      <c r="A56" s="36" t="s">
        <v>94</v>
      </c>
      <c r="B56" s="37"/>
      <c r="C56" s="38"/>
      <c r="D56" s="39"/>
      <c r="E56" s="40">
        <f t="shared" ref="E56:F56" si="136">SUM(E57:E59)</f>
        <v>681</v>
      </c>
      <c r="F56" s="40">
        <f t="shared" si="136"/>
        <v>661</v>
      </c>
      <c r="G56" s="41">
        <f t="shared" si="1"/>
        <v>0.97063142437591776</v>
      </c>
      <c r="H56" s="40">
        <f t="shared" ref="H56:K56" si="137">SUM(H57:H59)</f>
        <v>20789</v>
      </c>
      <c r="I56" s="40">
        <f t="shared" si="137"/>
        <v>19861</v>
      </c>
      <c r="J56" s="40">
        <f t="shared" si="137"/>
        <v>16400</v>
      </c>
      <c r="K56" s="40">
        <f t="shared" si="137"/>
        <v>12158</v>
      </c>
      <c r="L56" s="42">
        <f t="shared" si="3"/>
        <v>69208</v>
      </c>
      <c r="M56" s="40">
        <f t="shared" ref="M56:P56" si="138">SUM(M57:M59)</f>
        <v>20556</v>
      </c>
      <c r="N56" s="40">
        <f t="shared" si="138"/>
        <v>19769</v>
      </c>
      <c r="O56" s="40">
        <f t="shared" si="138"/>
        <v>16360</v>
      </c>
      <c r="P56" s="40">
        <f t="shared" si="138"/>
        <v>12100</v>
      </c>
      <c r="Q56" s="42">
        <f t="shared" si="5"/>
        <v>68785</v>
      </c>
      <c r="R56" s="40">
        <f t="shared" ref="R56:U56" si="139">SUM(R57:R59)</f>
        <v>2277</v>
      </c>
      <c r="S56" s="40">
        <f t="shared" si="139"/>
        <v>842</v>
      </c>
      <c r="T56" s="40">
        <f t="shared" si="139"/>
        <v>153</v>
      </c>
      <c r="U56" s="40">
        <f t="shared" si="139"/>
        <v>28</v>
      </c>
      <c r="V56" s="43">
        <f t="shared" si="7"/>
        <v>3300</v>
      </c>
      <c r="W56" s="40">
        <f t="shared" ref="W56:Z56" si="140">SUM(W57:W59)</f>
        <v>5891</v>
      </c>
      <c r="X56" s="40">
        <f t="shared" si="140"/>
        <v>2240</v>
      </c>
      <c r="Y56" s="40">
        <f t="shared" si="140"/>
        <v>859</v>
      </c>
      <c r="Z56" s="40">
        <f t="shared" si="140"/>
        <v>328</v>
      </c>
      <c r="AA56" s="43">
        <f t="shared" si="9"/>
        <v>9318</v>
      </c>
      <c r="AB56" s="40">
        <f t="shared" ref="AB56:AE56" si="141">SUM(AB57:AB59)</f>
        <v>9179</v>
      </c>
      <c r="AC56" s="40">
        <f t="shared" si="141"/>
        <v>7004</v>
      </c>
      <c r="AD56" s="40">
        <f t="shared" si="141"/>
        <v>4038</v>
      </c>
      <c r="AE56" s="40">
        <f t="shared" si="141"/>
        <v>1654</v>
      </c>
      <c r="AF56" s="43">
        <f t="shared" si="11"/>
        <v>21875</v>
      </c>
      <c r="AG56" s="40">
        <f t="shared" ref="AG56:AJ56" si="142">SUM(AG57:AG59)</f>
        <v>3209</v>
      </c>
      <c r="AH56" s="40">
        <f t="shared" si="142"/>
        <v>9683</v>
      </c>
      <c r="AI56" s="40">
        <f t="shared" si="142"/>
        <v>11310</v>
      </c>
      <c r="AJ56" s="40">
        <f t="shared" si="142"/>
        <v>10090</v>
      </c>
      <c r="AK56" s="43">
        <f t="shared" si="13"/>
        <v>34292</v>
      </c>
      <c r="AL56" s="44">
        <f t="shared" si="14"/>
        <v>0.44653629110721932</v>
      </c>
      <c r="AM56" s="44">
        <f t="shared" si="15"/>
        <v>0.35429207344832819</v>
      </c>
      <c r="AN56" s="44">
        <f t="shared" si="16"/>
        <v>0.24682151589242055</v>
      </c>
      <c r="AO56" s="44">
        <f t="shared" si="17"/>
        <v>0.13669421487603306</v>
      </c>
      <c r="AP56" s="44">
        <f t="shared" si="18"/>
        <v>0.31801991713309585</v>
      </c>
      <c r="AQ56" s="44">
        <f t="shared" si="19"/>
        <v>0.15611013815917493</v>
      </c>
      <c r="AR56" s="44">
        <f t="shared" si="20"/>
        <v>0.48980727401487179</v>
      </c>
      <c r="AS56" s="44">
        <f t="shared" si="21"/>
        <v>0.69132029339853296</v>
      </c>
      <c r="AT56" s="44">
        <f t="shared" si="22"/>
        <v>0.83388429752066118</v>
      </c>
      <c r="AU56" s="44">
        <f t="shared" si="23"/>
        <v>0.49853892563785707</v>
      </c>
      <c r="AV56" s="40">
        <f t="shared" ref="AV56:AY56" si="143">SUM(AV57:AV59)</f>
        <v>7044</v>
      </c>
      <c r="AW56" s="40">
        <f t="shared" si="143"/>
        <v>11580</v>
      </c>
      <c r="AX56" s="40">
        <f t="shared" si="143"/>
        <v>11757</v>
      </c>
      <c r="AY56" s="40">
        <f t="shared" si="143"/>
        <v>9683</v>
      </c>
      <c r="AZ56" s="43">
        <f t="shared" si="25"/>
        <v>40064</v>
      </c>
      <c r="BA56" s="40">
        <f t="shared" ref="BA56:BD56" si="144">SUM(BA57:BA59)</f>
        <v>5664</v>
      </c>
      <c r="BB56" s="40">
        <f t="shared" si="144"/>
        <v>8956</v>
      </c>
      <c r="BC56" s="40">
        <f t="shared" si="144"/>
        <v>9973</v>
      </c>
      <c r="BD56" s="40">
        <f t="shared" si="144"/>
        <v>9021</v>
      </c>
      <c r="BE56" s="43">
        <f t="shared" si="27"/>
        <v>33614</v>
      </c>
      <c r="BF56" s="40">
        <f t="shared" ref="BF56:BI56" si="145">SUM(BF57:BF59)</f>
        <v>2553</v>
      </c>
      <c r="BG56" s="40">
        <f t="shared" si="145"/>
        <v>5524</v>
      </c>
      <c r="BH56" s="40">
        <f t="shared" si="145"/>
        <v>7459</v>
      </c>
      <c r="BI56" s="40">
        <f t="shared" si="145"/>
        <v>7369</v>
      </c>
      <c r="BJ56" s="43">
        <f t="shared" si="29"/>
        <v>22905</v>
      </c>
      <c r="BK56" s="40">
        <f t="shared" ref="BK56:BN56" si="146">SUM(BK57:BK59)</f>
        <v>1383</v>
      </c>
      <c r="BL56" s="40">
        <f t="shared" si="146"/>
        <v>3071</v>
      </c>
      <c r="BM56" s="40">
        <f t="shared" si="146"/>
        <v>4522</v>
      </c>
      <c r="BN56" s="40">
        <f t="shared" si="146"/>
        <v>5466</v>
      </c>
      <c r="BO56" s="43">
        <f t="shared" si="31"/>
        <v>14442</v>
      </c>
      <c r="BP56" s="45"/>
      <c r="BQ56" s="46">
        <f t="shared" si="32"/>
        <v>0.3426736719206071</v>
      </c>
      <c r="BR56" s="46">
        <f t="shared" si="33"/>
        <v>0.58576559259446603</v>
      </c>
      <c r="BS56" s="46">
        <f t="shared" si="34"/>
        <v>0.71864303178484112</v>
      </c>
      <c r="BT56" s="46">
        <f t="shared" si="35"/>
        <v>0.80024793388429749</v>
      </c>
      <c r="BU56" s="46">
        <f t="shared" si="36"/>
        <v>0.58245256960093039</v>
      </c>
      <c r="BV56" s="46">
        <f t="shared" si="37"/>
        <v>0.27553998832457677</v>
      </c>
      <c r="BW56" s="46">
        <f t="shared" si="38"/>
        <v>0.45303252567150587</v>
      </c>
      <c r="BX56" s="46">
        <f t="shared" si="39"/>
        <v>0.60959657701711489</v>
      </c>
      <c r="BY56" s="46">
        <f t="shared" si="40"/>
        <v>0.74553719008264463</v>
      </c>
      <c r="BZ56" s="47">
        <f t="shared" si="41"/>
        <v>0.48868212546340045</v>
      </c>
      <c r="CA56" s="46">
        <f t="shared" si="42"/>
        <v>0.12419731465265615</v>
      </c>
      <c r="CB56" s="46">
        <f t="shared" si="43"/>
        <v>0.27942738631190245</v>
      </c>
      <c r="CC56" s="46">
        <f t="shared" si="44"/>
        <v>0.45592909535452325</v>
      </c>
      <c r="CD56" s="46">
        <f t="shared" si="45"/>
        <v>0.60900826446280987</v>
      </c>
      <c r="CE56" s="47">
        <f t="shared" si="46"/>
        <v>0.33299411208839136</v>
      </c>
      <c r="CF56" s="46">
        <f t="shared" si="47"/>
        <v>6.7279626386456515E-2</v>
      </c>
      <c r="CG56" s="46">
        <f t="shared" si="48"/>
        <v>0.15534422580808335</v>
      </c>
      <c r="CH56" s="46">
        <f t="shared" si="49"/>
        <v>0.27640586797066014</v>
      </c>
      <c r="CI56" s="46">
        <f t="shared" si="50"/>
        <v>0.45173553719008264</v>
      </c>
      <c r="CJ56" s="47">
        <f t="shared" si="51"/>
        <v>0.20995856654793923</v>
      </c>
      <c r="CK56" s="46">
        <f t="shared" si="123"/>
        <v>0.20242265032107415</v>
      </c>
      <c r="CL56" s="46">
        <f t="shared" si="123"/>
        <v>0.36839243259648946</v>
      </c>
      <c r="CM56" s="46">
        <f t="shared" si="123"/>
        <v>0.51514364303178484</v>
      </c>
      <c r="CN56" s="46">
        <f t="shared" si="123"/>
        <v>0.65163223140495874</v>
      </c>
      <c r="CO56" s="47">
        <f t="shared" si="53"/>
        <v>0.40352184342516539</v>
      </c>
      <c r="CP56" s="48"/>
    </row>
    <row r="57" spans="1:94" ht="30.75" customHeight="1" x14ac:dyDescent="0.3">
      <c r="A57" s="49">
        <v>42</v>
      </c>
      <c r="B57" s="50" t="s">
        <v>95</v>
      </c>
      <c r="C57" s="50" t="s">
        <v>96</v>
      </c>
      <c r="D57" s="51">
        <v>45901</v>
      </c>
      <c r="E57" s="52">
        <v>279</v>
      </c>
      <c r="F57" s="52">
        <v>279</v>
      </c>
      <c r="G57" s="53">
        <f t="shared" si="1"/>
        <v>1</v>
      </c>
      <c r="H57" s="52">
        <v>8526</v>
      </c>
      <c r="I57" s="52">
        <v>8131</v>
      </c>
      <c r="J57" s="52">
        <v>6530</v>
      </c>
      <c r="K57" s="52">
        <v>4723</v>
      </c>
      <c r="L57" s="54">
        <f t="shared" si="3"/>
        <v>27910</v>
      </c>
      <c r="M57" s="52">
        <v>8409</v>
      </c>
      <c r="N57" s="52">
        <v>8090</v>
      </c>
      <c r="O57" s="52">
        <v>6513</v>
      </c>
      <c r="P57" s="52">
        <v>4696</v>
      </c>
      <c r="Q57" s="54">
        <f t="shared" si="5"/>
        <v>27708</v>
      </c>
      <c r="R57" s="52">
        <v>1166</v>
      </c>
      <c r="S57" s="52">
        <v>543</v>
      </c>
      <c r="T57" s="52">
        <v>99</v>
      </c>
      <c r="U57" s="52">
        <v>11</v>
      </c>
      <c r="V57" s="55">
        <f t="shared" si="7"/>
        <v>1819</v>
      </c>
      <c r="W57" s="52">
        <v>2260</v>
      </c>
      <c r="X57" s="52">
        <v>883</v>
      </c>
      <c r="Y57" s="52">
        <v>407</v>
      </c>
      <c r="Z57" s="52">
        <v>108</v>
      </c>
      <c r="AA57" s="55">
        <f t="shared" si="9"/>
        <v>3658</v>
      </c>
      <c r="AB57" s="52">
        <v>3614</v>
      </c>
      <c r="AC57" s="52">
        <v>2765</v>
      </c>
      <c r="AD57" s="52">
        <v>1685</v>
      </c>
      <c r="AE57" s="52">
        <v>684</v>
      </c>
      <c r="AF57" s="55">
        <f t="shared" si="11"/>
        <v>8748</v>
      </c>
      <c r="AG57" s="52">
        <v>1369</v>
      </c>
      <c r="AH57" s="52">
        <v>3899</v>
      </c>
      <c r="AI57" s="52">
        <v>4322</v>
      </c>
      <c r="AJ57" s="52">
        <v>3893</v>
      </c>
      <c r="AK57" s="55">
        <f t="shared" si="13"/>
        <v>13483</v>
      </c>
      <c r="AL57" s="56">
        <f t="shared" si="14"/>
        <v>0.42977761921750507</v>
      </c>
      <c r="AM57" s="56">
        <f t="shared" si="15"/>
        <v>0.34177997527812115</v>
      </c>
      <c r="AN57" s="56">
        <f t="shared" si="16"/>
        <v>0.25871334254567785</v>
      </c>
      <c r="AO57" s="56">
        <f t="shared" si="17"/>
        <v>0.14565587734241908</v>
      </c>
      <c r="AP57" s="57">
        <f t="shared" si="18"/>
        <v>0.31572109138155047</v>
      </c>
      <c r="AQ57" s="56">
        <f t="shared" si="19"/>
        <v>0.16280176001902724</v>
      </c>
      <c r="AR57" s="56">
        <f t="shared" si="20"/>
        <v>0.48195302843016069</v>
      </c>
      <c r="AS57" s="56">
        <f t="shared" si="21"/>
        <v>0.66359588515277135</v>
      </c>
      <c r="AT57" s="56">
        <f t="shared" si="22"/>
        <v>0.82900340715502552</v>
      </c>
      <c r="AU57" s="57">
        <f t="shared" si="23"/>
        <v>0.48661036523747653</v>
      </c>
      <c r="AV57" s="52">
        <v>2642</v>
      </c>
      <c r="AW57" s="52">
        <v>4534</v>
      </c>
      <c r="AX57" s="52">
        <v>4711</v>
      </c>
      <c r="AY57" s="52">
        <v>3786</v>
      </c>
      <c r="AZ57" s="58">
        <f t="shared" si="25"/>
        <v>15673</v>
      </c>
      <c r="BA57" s="52">
        <v>2154</v>
      </c>
      <c r="BB57" s="52">
        <v>3575</v>
      </c>
      <c r="BC57" s="52">
        <v>3982</v>
      </c>
      <c r="BD57" s="52">
        <v>3549</v>
      </c>
      <c r="BE57" s="59">
        <f t="shared" si="27"/>
        <v>13260</v>
      </c>
      <c r="BF57" s="52">
        <v>976</v>
      </c>
      <c r="BG57" s="52">
        <v>2188</v>
      </c>
      <c r="BH57" s="52">
        <v>3039</v>
      </c>
      <c r="BI57" s="52">
        <v>3003</v>
      </c>
      <c r="BJ57" s="60">
        <f t="shared" si="29"/>
        <v>9206</v>
      </c>
      <c r="BK57" s="52">
        <v>615</v>
      </c>
      <c r="BL57" s="52">
        <v>1260</v>
      </c>
      <c r="BM57" s="52">
        <v>1823</v>
      </c>
      <c r="BN57" s="52">
        <v>2192</v>
      </c>
      <c r="BO57" s="55">
        <f t="shared" si="31"/>
        <v>5890</v>
      </c>
      <c r="BP57" s="61"/>
      <c r="BQ57" s="62">
        <f t="shared" si="32"/>
        <v>0.31418718040195032</v>
      </c>
      <c r="BR57" s="62">
        <f t="shared" si="33"/>
        <v>0.56044499381953028</v>
      </c>
      <c r="BS57" s="62">
        <f t="shared" si="34"/>
        <v>0.72332258559803475</v>
      </c>
      <c r="BT57" s="62">
        <f t="shared" si="35"/>
        <v>0.80621805792163548</v>
      </c>
      <c r="BU57" s="63">
        <f t="shared" si="36"/>
        <v>0.56564891006207596</v>
      </c>
      <c r="BV57" s="62">
        <f t="shared" si="37"/>
        <v>0.25615412058508741</v>
      </c>
      <c r="BW57" s="62">
        <f t="shared" si="38"/>
        <v>0.44190358467243512</v>
      </c>
      <c r="BX57" s="62">
        <f t="shared" si="39"/>
        <v>0.61139259941655155</v>
      </c>
      <c r="BY57" s="62">
        <f t="shared" si="40"/>
        <v>0.75574957410562182</v>
      </c>
      <c r="BZ57" s="64">
        <f t="shared" si="41"/>
        <v>0.47856214811606756</v>
      </c>
      <c r="CA57" s="62">
        <f t="shared" si="42"/>
        <v>0.11606611963372578</v>
      </c>
      <c r="CB57" s="62">
        <f t="shared" si="43"/>
        <v>0.27045735475896165</v>
      </c>
      <c r="CC57" s="62">
        <f t="shared" si="44"/>
        <v>0.46660525103638878</v>
      </c>
      <c r="CD57" s="62">
        <f t="shared" si="45"/>
        <v>0.63948040885860302</v>
      </c>
      <c r="CE57" s="65">
        <f t="shared" si="46"/>
        <v>0.33225061354121554</v>
      </c>
      <c r="CF57" s="62">
        <f t="shared" si="47"/>
        <v>7.313592579379237E-2</v>
      </c>
      <c r="CG57" s="62">
        <f t="shared" si="48"/>
        <v>0.15574783683559951</v>
      </c>
      <c r="CH57" s="62">
        <f t="shared" si="49"/>
        <v>0.27990173499155535</v>
      </c>
      <c r="CI57" s="62">
        <f t="shared" si="50"/>
        <v>0.46678023850085176</v>
      </c>
      <c r="CJ57" s="66">
        <f t="shared" si="51"/>
        <v>0.21257398585246137</v>
      </c>
      <c r="CK57" s="62">
        <f t="shared" si="123"/>
        <v>0.18988583660363897</v>
      </c>
      <c r="CL57" s="62">
        <f t="shared" si="123"/>
        <v>0.35713844252163168</v>
      </c>
      <c r="CM57" s="62">
        <f t="shared" si="123"/>
        <v>0.52030554276063268</v>
      </c>
      <c r="CN57" s="62">
        <f t="shared" si="123"/>
        <v>0.66705706984667801</v>
      </c>
      <c r="CO57" s="67">
        <f t="shared" si="53"/>
        <v>0.39725891439295513</v>
      </c>
      <c r="CP57" s="48"/>
    </row>
    <row r="58" spans="1:94" ht="30.75" customHeight="1" x14ac:dyDescent="0.3">
      <c r="A58" s="49">
        <v>43</v>
      </c>
      <c r="B58" s="50" t="s">
        <v>95</v>
      </c>
      <c r="C58" s="50" t="s">
        <v>97</v>
      </c>
      <c r="D58" s="51">
        <v>45901</v>
      </c>
      <c r="E58" s="52">
        <v>212</v>
      </c>
      <c r="F58" s="52">
        <v>192</v>
      </c>
      <c r="G58" s="53">
        <f t="shared" si="1"/>
        <v>0.90566037735849059</v>
      </c>
      <c r="H58" s="52">
        <v>5648</v>
      </c>
      <c r="I58" s="52">
        <v>5699</v>
      </c>
      <c r="J58" s="52">
        <v>4839</v>
      </c>
      <c r="K58" s="52">
        <v>3697</v>
      </c>
      <c r="L58" s="54">
        <f t="shared" si="3"/>
        <v>19883</v>
      </c>
      <c r="M58" s="52">
        <v>5639</v>
      </c>
      <c r="N58" s="52">
        <v>5698</v>
      </c>
      <c r="O58" s="52">
        <v>4837</v>
      </c>
      <c r="P58" s="52">
        <v>3692</v>
      </c>
      <c r="Q58" s="54">
        <f t="shared" si="5"/>
        <v>19866</v>
      </c>
      <c r="R58" s="52">
        <v>604</v>
      </c>
      <c r="S58" s="52">
        <v>147</v>
      </c>
      <c r="T58" s="52">
        <v>41</v>
      </c>
      <c r="U58" s="52">
        <v>16</v>
      </c>
      <c r="V58" s="55">
        <f t="shared" si="7"/>
        <v>808</v>
      </c>
      <c r="W58" s="52">
        <v>1845</v>
      </c>
      <c r="X58" s="52">
        <v>688</v>
      </c>
      <c r="Y58" s="52">
        <v>261</v>
      </c>
      <c r="Z58" s="52">
        <v>193</v>
      </c>
      <c r="AA58" s="55">
        <f t="shared" si="9"/>
        <v>2987</v>
      </c>
      <c r="AB58" s="52">
        <v>2321</v>
      </c>
      <c r="AC58" s="52">
        <v>2105</v>
      </c>
      <c r="AD58" s="52">
        <v>1189</v>
      </c>
      <c r="AE58" s="52">
        <v>658</v>
      </c>
      <c r="AF58" s="55">
        <f t="shared" si="11"/>
        <v>6273</v>
      </c>
      <c r="AG58" s="52">
        <v>869</v>
      </c>
      <c r="AH58" s="52">
        <v>2758</v>
      </c>
      <c r="AI58" s="52">
        <v>3346</v>
      </c>
      <c r="AJ58" s="52">
        <v>2825</v>
      </c>
      <c r="AK58" s="55">
        <f t="shared" si="13"/>
        <v>9798</v>
      </c>
      <c r="AL58" s="56">
        <f t="shared" si="14"/>
        <v>0.41159780102855115</v>
      </c>
      <c r="AM58" s="56">
        <f t="shared" si="15"/>
        <v>0.36942786942786943</v>
      </c>
      <c r="AN58" s="56">
        <f t="shared" si="16"/>
        <v>0.24581352077734134</v>
      </c>
      <c r="AO58" s="56">
        <f t="shared" si="17"/>
        <v>0.17822318526543879</v>
      </c>
      <c r="AP58" s="57">
        <f t="shared" si="18"/>
        <v>0.31576562971911809</v>
      </c>
      <c r="AQ58" s="56">
        <f t="shared" si="19"/>
        <v>0.15410533782585564</v>
      </c>
      <c r="AR58" s="56">
        <f t="shared" si="20"/>
        <v>0.48402948402948404</v>
      </c>
      <c r="AS58" s="56">
        <f t="shared" si="21"/>
        <v>0.69175108538350216</v>
      </c>
      <c r="AT58" s="56">
        <f t="shared" si="22"/>
        <v>0.7651679306608884</v>
      </c>
      <c r="AU58" s="57">
        <f t="shared" si="23"/>
        <v>0.49320446994865602</v>
      </c>
      <c r="AV58" s="52">
        <v>2066</v>
      </c>
      <c r="AW58" s="52">
        <v>3287</v>
      </c>
      <c r="AX58" s="52">
        <v>3268</v>
      </c>
      <c r="AY58" s="52">
        <v>2599</v>
      </c>
      <c r="AZ58" s="58">
        <f t="shared" si="25"/>
        <v>11220</v>
      </c>
      <c r="BA58" s="52">
        <v>1652</v>
      </c>
      <c r="BB58" s="52">
        <v>2525</v>
      </c>
      <c r="BC58" s="52">
        <v>2779</v>
      </c>
      <c r="BD58" s="52">
        <v>2493</v>
      </c>
      <c r="BE58" s="59">
        <f t="shared" si="27"/>
        <v>9449</v>
      </c>
      <c r="BF58" s="52">
        <v>650</v>
      </c>
      <c r="BG58" s="52">
        <v>1416</v>
      </c>
      <c r="BH58" s="52">
        <v>2017</v>
      </c>
      <c r="BI58" s="52">
        <v>1964</v>
      </c>
      <c r="BJ58" s="60">
        <f t="shared" si="29"/>
        <v>6047</v>
      </c>
      <c r="BK58" s="52">
        <v>345</v>
      </c>
      <c r="BL58" s="52">
        <v>812</v>
      </c>
      <c r="BM58" s="52">
        <v>1174</v>
      </c>
      <c r="BN58" s="52">
        <v>1475</v>
      </c>
      <c r="BO58" s="55">
        <f t="shared" si="31"/>
        <v>3806</v>
      </c>
      <c r="BP58" s="61"/>
      <c r="BQ58" s="62">
        <f t="shared" si="32"/>
        <v>0.36637701720163152</v>
      </c>
      <c r="BR58" s="62">
        <f t="shared" si="33"/>
        <v>0.57686907686907685</v>
      </c>
      <c r="BS58" s="62">
        <f t="shared" si="34"/>
        <v>0.67562538763696511</v>
      </c>
      <c r="BT58" s="62">
        <f t="shared" si="35"/>
        <v>0.70395449620801731</v>
      </c>
      <c r="BU58" s="63">
        <f t="shared" si="36"/>
        <v>0.56478405315614622</v>
      </c>
      <c r="BV58" s="62">
        <f t="shared" si="37"/>
        <v>0.29295974463557367</v>
      </c>
      <c r="BW58" s="62">
        <f t="shared" si="38"/>
        <v>0.44313794313794314</v>
      </c>
      <c r="BX58" s="62">
        <f t="shared" si="39"/>
        <v>0.57452966714905929</v>
      </c>
      <c r="BY58" s="62">
        <f t="shared" si="40"/>
        <v>0.6752437703141928</v>
      </c>
      <c r="BZ58" s="64">
        <f t="shared" si="41"/>
        <v>0.47563676633444074</v>
      </c>
      <c r="CA58" s="62">
        <f t="shared" si="42"/>
        <v>0.11526866465685405</v>
      </c>
      <c r="CB58" s="62">
        <f t="shared" si="43"/>
        <v>0.24850824850824851</v>
      </c>
      <c r="CC58" s="62">
        <f t="shared" si="44"/>
        <v>0.41699400454827373</v>
      </c>
      <c r="CD58" s="62">
        <f t="shared" si="45"/>
        <v>0.53196099674972919</v>
      </c>
      <c r="CE58" s="65">
        <f t="shared" si="46"/>
        <v>0.30438940904057182</v>
      </c>
      <c r="CF58" s="62">
        <f t="shared" si="47"/>
        <v>6.1181060471714843E-2</v>
      </c>
      <c r="CG58" s="62">
        <f t="shared" si="48"/>
        <v>0.14250614250614252</v>
      </c>
      <c r="CH58" s="62">
        <f t="shared" si="49"/>
        <v>0.24271242505685342</v>
      </c>
      <c r="CI58" s="62">
        <f t="shared" si="50"/>
        <v>0.39951245937161428</v>
      </c>
      <c r="CJ58" s="66">
        <f t="shared" si="51"/>
        <v>0.19158361018826134</v>
      </c>
      <c r="CK58" s="62">
        <f t="shared" si="123"/>
        <v>0.20894662174144352</v>
      </c>
      <c r="CL58" s="62">
        <f t="shared" si="123"/>
        <v>0.35275535275535275</v>
      </c>
      <c r="CM58" s="62">
        <f t="shared" si="123"/>
        <v>0.47746537109778786</v>
      </c>
      <c r="CN58" s="62">
        <f t="shared" si="123"/>
        <v>0.5776679306608884</v>
      </c>
      <c r="CO58" s="67">
        <f t="shared" si="53"/>
        <v>0.38409845967985501</v>
      </c>
      <c r="CP58" s="48"/>
    </row>
    <row r="59" spans="1:94" ht="30.75" customHeight="1" x14ac:dyDescent="0.3">
      <c r="A59" s="49">
        <v>44</v>
      </c>
      <c r="B59" s="50" t="s">
        <v>95</v>
      </c>
      <c r="C59" s="50" t="s">
        <v>98</v>
      </c>
      <c r="D59" s="51">
        <v>45901</v>
      </c>
      <c r="E59" s="52">
        <v>190</v>
      </c>
      <c r="F59" s="52">
        <v>190</v>
      </c>
      <c r="G59" s="53">
        <f t="shared" si="1"/>
        <v>1</v>
      </c>
      <c r="H59" s="52">
        <v>6615</v>
      </c>
      <c r="I59" s="52">
        <v>6031</v>
      </c>
      <c r="J59" s="52">
        <v>5031</v>
      </c>
      <c r="K59" s="52">
        <v>3738</v>
      </c>
      <c r="L59" s="54">
        <f t="shared" si="3"/>
        <v>21415</v>
      </c>
      <c r="M59" s="52">
        <v>6508</v>
      </c>
      <c r="N59" s="52">
        <v>5981</v>
      </c>
      <c r="O59" s="52">
        <v>5010</v>
      </c>
      <c r="P59" s="52">
        <v>3712</v>
      </c>
      <c r="Q59" s="54">
        <f t="shared" si="5"/>
        <v>21211</v>
      </c>
      <c r="R59" s="52">
        <v>507</v>
      </c>
      <c r="S59" s="52">
        <v>152</v>
      </c>
      <c r="T59" s="52">
        <v>13</v>
      </c>
      <c r="U59" s="52">
        <v>1</v>
      </c>
      <c r="V59" s="55">
        <f t="shared" si="7"/>
        <v>673</v>
      </c>
      <c r="W59" s="52">
        <v>1786</v>
      </c>
      <c r="X59" s="52">
        <v>669</v>
      </c>
      <c r="Y59" s="52">
        <v>191</v>
      </c>
      <c r="Z59" s="52">
        <v>27</v>
      </c>
      <c r="AA59" s="55">
        <f t="shared" si="9"/>
        <v>2673</v>
      </c>
      <c r="AB59" s="52">
        <v>3244</v>
      </c>
      <c r="AC59" s="52">
        <v>2134</v>
      </c>
      <c r="AD59" s="52">
        <v>1164</v>
      </c>
      <c r="AE59" s="52">
        <v>312</v>
      </c>
      <c r="AF59" s="55">
        <f t="shared" si="11"/>
        <v>6854</v>
      </c>
      <c r="AG59" s="52">
        <v>971</v>
      </c>
      <c r="AH59" s="52">
        <v>3026</v>
      </c>
      <c r="AI59" s="52">
        <v>3642</v>
      </c>
      <c r="AJ59" s="52">
        <v>3372</v>
      </c>
      <c r="AK59" s="55">
        <f t="shared" si="13"/>
        <v>11011</v>
      </c>
      <c r="AL59" s="56">
        <f t="shared" si="14"/>
        <v>0.49846342962507684</v>
      </c>
      <c r="AM59" s="56">
        <f t="shared" si="15"/>
        <v>0.35679652232068215</v>
      </c>
      <c r="AN59" s="56">
        <f t="shared" si="16"/>
        <v>0.23233532934131737</v>
      </c>
      <c r="AO59" s="56">
        <f t="shared" si="17"/>
        <v>8.4051724137931036E-2</v>
      </c>
      <c r="AP59" s="57">
        <f t="shared" si="18"/>
        <v>0.3231342228089199</v>
      </c>
      <c r="AQ59" s="56">
        <f t="shared" si="19"/>
        <v>0.14920098340503996</v>
      </c>
      <c r="AR59" s="56">
        <f t="shared" si="20"/>
        <v>0.50593546229727471</v>
      </c>
      <c r="AS59" s="56">
        <f t="shared" si="21"/>
        <v>0.72694610778443114</v>
      </c>
      <c r="AT59" s="56">
        <f t="shared" si="22"/>
        <v>0.90840517241379315</v>
      </c>
      <c r="AU59" s="57">
        <f t="shared" si="23"/>
        <v>0.51911743906463625</v>
      </c>
      <c r="AV59" s="52">
        <v>2336</v>
      </c>
      <c r="AW59" s="52">
        <v>3759</v>
      </c>
      <c r="AX59" s="52">
        <v>3778</v>
      </c>
      <c r="AY59" s="52">
        <v>3298</v>
      </c>
      <c r="AZ59" s="58">
        <f t="shared" si="25"/>
        <v>13171</v>
      </c>
      <c r="BA59" s="52">
        <v>1858</v>
      </c>
      <c r="BB59" s="52">
        <v>2856</v>
      </c>
      <c r="BC59" s="52">
        <v>3212</v>
      </c>
      <c r="BD59" s="52">
        <v>2979</v>
      </c>
      <c r="BE59" s="59">
        <f t="shared" si="27"/>
        <v>10905</v>
      </c>
      <c r="BF59" s="52">
        <v>927</v>
      </c>
      <c r="BG59" s="52">
        <v>1920</v>
      </c>
      <c r="BH59" s="52">
        <v>2403</v>
      </c>
      <c r="BI59" s="52">
        <v>2402</v>
      </c>
      <c r="BJ59" s="60">
        <f t="shared" si="29"/>
        <v>7652</v>
      </c>
      <c r="BK59" s="52">
        <v>423</v>
      </c>
      <c r="BL59" s="52">
        <v>999</v>
      </c>
      <c r="BM59" s="52">
        <v>1525</v>
      </c>
      <c r="BN59" s="52">
        <v>1799</v>
      </c>
      <c r="BO59" s="55">
        <f t="shared" si="31"/>
        <v>4746</v>
      </c>
      <c r="BP59" s="61"/>
      <c r="BQ59" s="62">
        <f t="shared" si="32"/>
        <v>0.35894283958205286</v>
      </c>
      <c r="BR59" s="62">
        <f t="shared" si="33"/>
        <v>0.6284902190269186</v>
      </c>
      <c r="BS59" s="62">
        <f t="shared" si="34"/>
        <v>0.75409181636726552</v>
      </c>
      <c r="BT59" s="62">
        <f t="shared" si="35"/>
        <v>0.88846982758620685</v>
      </c>
      <c r="BU59" s="63">
        <f t="shared" si="36"/>
        <v>0.6209513931450662</v>
      </c>
      <c r="BV59" s="62">
        <f t="shared" si="37"/>
        <v>0.28549477566072529</v>
      </c>
      <c r="BW59" s="62">
        <f t="shared" si="38"/>
        <v>0.47751212171877611</v>
      </c>
      <c r="BX59" s="62">
        <f t="shared" si="39"/>
        <v>0.64111776447105784</v>
      </c>
      <c r="BY59" s="62">
        <f t="shared" si="40"/>
        <v>0.80253232758620685</v>
      </c>
      <c r="BZ59" s="64">
        <f t="shared" si="41"/>
        <v>0.51412003205883738</v>
      </c>
      <c r="CA59" s="62">
        <f t="shared" si="42"/>
        <v>0.14244007375537798</v>
      </c>
      <c r="CB59" s="62">
        <f t="shared" si="43"/>
        <v>0.32101655241598392</v>
      </c>
      <c r="CC59" s="62">
        <f t="shared" si="44"/>
        <v>0.47964071856287427</v>
      </c>
      <c r="CD59" s="62">
        <f t="shared" si="45"/>
        <v>0.64709051724137934</v>
      </c>
      <c r="CE59" s="65">
        <f t="shared" si="46"/>
        <v>0.3607562113997454</v>
      </c>
      <c r="CF59" s="62">
        <f t="shared" si="47"/>
        <v>6.4996926859250154E-2</v>
      </c>
      <c r="CG59" s="62">
        <f t="shared" si="48"/>
        <v>0.16702892492894164</v>
      </c>
      <c r="CH59" s="62">
        <f t="shared" si="49"/>
        <v>0.30439121756487025</v>
      </c>
      <c r="CI59" s="62">
        <f t="shared" si="50"/>
        <v>0.48464439655172414</v>
      </c>
      <c r="CJ59" s="66">
        <f t="shared" si="51"/>
        <v>0.22375182688227807</v>
      </c>
      <c r="CK59" s="62">
        <f t="shared" si="123"/>
        <v>0.21296865396435158</v>
      </c>
      <c r="CL59" s="62">
        <f t="shared" si="123"/>
        <v>0.39851195452265509</v>
      </c>
      <c r="CM59" s="62">
        <f t="shared" si="123"/>
        <v>0.54481037924151698</v>
      </c>
      <c r="CN59" s="62">
        <f t="shared" si="123"/>
        <v>0.70568426724137934</v>
      </c>
      <c r="CO59" s="67">
        <f t="shared" si="53"/>
        <v>0.42989486587148174</v>
      </c>
      <c r="CP59" s="48"/>
    </row>
    <row r="60" spans="1:94" ht="30.75" customHeight="1" x14ac:dyDescent="0.3">
      <c r="A60" s="36" t="s">
        <v>99</v>
      </c>
      <c r="B60" s="37"/>
      <c r="C60" s="38"/>
      <c r="D60" s="39"/>
      <c r="E60" s="40">
        <f t="shared" ref="E60:F60" si="147">SUM(E61:E65)</f>
        <v>458</v>
      </c>
      <c r="F60" s="40">
        <f t="shared" si="147"/>
        <v>431</v>
      </c>
      <c r="G60" s="41">
        <f t="shared" si="1"/>
        <v>0.94104803493449785</v>
      </c>
      <c r="H60" s="40">
        <f t="shared" ref="H60:K60" si="148">SUM(H61:H65)</f>
        <v>14770</v>
      </c>
      <c r="I60" s="40">
        <f t="shared" si="148"/>
        <v>10458</v>
      </c>
      <c r="J60" s="40">
        <f t="shared" si="148"/>
        <v>5741</v>
      </c>
      <c r="K60" s="40">
        <f t="shared" si="148"/>
        <v>3275</v>
      </c>
      <c r="L60" s="42">
        <f t="shared" si="3"/>
        <v>34244</v>
      </c>
      <c r="M60" s="40">
        <f t="shared" ref="M60:P60" si="149">SUM(M61:M65)</f>
        <v>13762</v>
      </c>
      <c r="N60" s="40">
        <f t="shared" si="149"/>
        <v>9840</v>
      </c>
      <c r="O60" s="40">
        <f t="shared" si="149"/>
        <v>5412</v>
      </c>
      <c r="P60" s="40">
        <f t="shared" si="149"/>
        <v>3008</v>
      </c>
      <c r="Q60" s="42">
        <f t="shared" si="5"/>
        <v>32022</v>
      </c>
      <c r="R60" s="40">
        <f t="shared" ref="R60:U60" si="150">SUM(R61:R65)</f>
        <v>2007</v>
      </c>
      <c r="S60" s="40">
        <f t="shared" si="150"/>
        <v>150</v>
      </c>
      <c r="T60" s="40">
        <f t="shared" si="150"/>
        <v>17</v>
      </c>
      <c r="U60" s="40">
        <f t="shared" si="150"/>
        <v>2</v>
      </c>
      <c r="V60" s="43">
        <f t="shared" si="7"/>
        <v>2176</v>
      </c>
      <c r="W60" s="40">
        <f t="shared" ref="W60:Z60" si="151">SUM(W61:W65)</f>
        <v>2969</v>
      </c>
      <c r="X60" s="40">
        <f t="shared" si="151"/>
        <v>835</v>
      </c>
      <c r="Y60" s="40">
        <f t="shared" si="151"/>
        <v>70</v>
      </c>
      <c r="Z60" s="40">
        <f t="shared" si="151"/>
        <v>4</v>
      </c>
      <c r="AA60" s="43">
        <f t="shared" si="9"/>
        <v>3878</v>
      </c>
      <c r="AB60" s="40">
        <f t="shared" ref="AB60:AE60" si="152">SUM(AB61:AB65)</f>
        <v>4658</v>
      </c>
      <c r="AC60" s="40">
        <f t="shared" si="152"/>
        <v>3333</v>
      </c>
      <c r="AD60" s="40">
        <f t="shared" si="152"/>
        <v>1128</v>
      </c>
      <c r="AE60" s="40">
        <f t="shared" si="152"/>
        <v>423</v>
      </c>
      <c r="AF60" s="43">
        <f t="shared" si="11"/>
        <v>9542</v>
      </c>
      <c r="AG60" s="40">
        <f t="shared" ref="AG60:AJ60" si="153">SUM(AG61:AG65)</f>
        <v>4128</v>
      </c>
      <c r="AH60" s="40">
        <f t="shared" si="153"/>
        <v>5522</v>
      </c>
      <c r="AI60" s="40">
        <f t="shared" si="153"/>
        <v>4197</v>
      </c>
      <c r="AJ60" s="40">
        <f t="shared" si="153"/>
        <v>2579</v>
      </c>
      <c r="AK60" s="43">
        <f t="shared" si="13"/>
        <v>16426</v>
      </c>
      <c r="AL60" s="44">
        <f t="shared" si="14"/>
        <v>0.33846824589449209</v>
      </c>
      <c r="AM60" s="44">
        <f t="shared" si="15"/>
        <v>0.33871951219512197</v>
      </c>
      <c r="AN60" s="44">
        <f t="shared" si="16"/>
        <v>0.20842572062084258</v>
      </c>
      <c r="AO60" s="44">
        <f t="shared" si="17"/>
        <v>0.140625</v>
      </c>
      <c r="AP60" s="44">
        <f t="shared" si="18"/>
        <v>0.29798263693710575</v>
      </c>
      <c r="AQ60" s="44">
        <f t="shared" si="19"/>
        <v>0.29995640168580145</v>
      </c>
      <c r="AR60" s="44">
        <f t="shared" si="20"/>
        <v>0.56117886178861787</v>
      </c>
      <c r="AS60" s="44">
        <f t="shared" si="21"/>
        <v>0.7754988913525499</v>
      </c>
      <c r="AT60" s="44">
        <f t="shared" si="22"/>
        <v>0.8573803191489362</v>
      </c>
      <c r="AU60" s="44">
        <f t="shared" si="23"/>
        <v>0.51295984010992446</v>
      </c>
      <c r="AV60" s="40">
        <f t="shared" ref="AV60:AY60" si="154">SUM(AV61:AV65)</f>
        <v>7585</v>
      </c>
      <c r="AW60" s="40">
        <f t="shared" si="154"/>
        <v>7234</v>
      </c>
      <c r="AX60" s="40">
        <f t="shared" si="154"/>
        <v>4743</v>
      </c>
      <c r="AY60" s="40">
        <f t="shared" si="154"/>
        <v>2784</v>
      </c>
      <c r="AZ60" s="43">
        <f t="shared" si="25"/>
        <v>22346</v>
      </c>
      <c r="BA60" s="40">
        <f t="shared" ref="BA60:BD60" si="155">SUM(BA61:BA65)</f>
        <v>6204</v>
      </c>
      <c r="BB60" s="40">
        <f t="shared" si="155"/>
        <v>6065</v>
      </c>
      <c r="BC60" s="40">
        <f t="shared" si="155"/>
        <v>4271</v>
      </c>
      <c r="BD60" s="40">
        <f t="shared" si="155"/>
        <v>2633</v>
      </c>
      <c r="BE60" s="43">
        <f t="shared" si="27"/>
        <v>19173</v>
      </c>
      <c r="BF60" s="40">
        <f t="shared" ref="BF60:BI60" si="156">SUM(BF61:BF65)</f>
        <v>3811</v>
      </c>
      <c r="BG60" s="40">
        <f t="shared" si="156"/>
        <v>4721</v>
      </c>
      <c r="BH60" s="40">
        <f t="shared" si="156"/>
        <v>3608</v>
      </c>
      <c r="BI60" s="40">
        <f t="shared" si="156"/>
        <v>2461</v>
      </c>
      <c r="BJ60" s="43">
        <f t="shared" si="29"/>
        <v>14601</v>
      </c>
      <c r="BK60" s="40">
        <f t="shared" ref="BK60:BN60" si="157">SUM(BK61:BK65)</f>
        <v>2330</v>
      </c>
      <c r="BL60" s="40">
        <f t="shared" si="157"/>
        <v>3322</v>
      </c>
      <c r="BM60" s="40">
        <f t="shared" si="157"/>
        <v>2639</v>
      </c>
      <c r="BN60" s="40">
        <f t="shared" si="157"/>
        <v>1993</v>
      </c>
      <c r="BO60" s="43">
        <f t="shared" si="31"/>
        <v>10284</v>
      </c>
      <c r="BP60" s="45"/>
      <c r="BQ60" s="46">
        <f t="shared" si="32"/>
        <v>0.5511553553262607</v>
      </c>
      <c r="BR60" s="46">
        <f t="shared" si="33"/>
        <v>0.73516260162601621</v>
      </c>
      <c r="BS60" s="46">
        <f t="shared" si="34"/>
        <v>0.87638580931263854</v>
      </c>
      <c r="BT60" s="46">
        <f t="shared" si="35"/>
        <v>0.92553191489361697</v>
      </c>
      <c r="BU60" s="46">
        <f t="shared" si="36"/>
        <v>0.69783273999125606</v>
      </c>
      <c r="BV60" s="46">
        <f t="shared" si="37"/>
        <v>0.45080656881267256</v>
      </c>
      <c r="BW60" s="46">
        <f t="shared" si="38"/>
        <v>0.61636178861788615</v>
      </c>
      <c r="BX60" s="46">
        <f t="shared" si="39"/>
        <v>0.78917220990391723</v>
      </c>
      <c r="BY60" s="46">
        <f t="shared" si="40"/>
        <v>0.87533244680851063</v>
      </c>
      <c r="BZ60" s="47">
        <f t="shared" si="41"/>
        <v>0.59874461307850857</v>
      </c>
      <c r="CA60" s="46">
        <f t="shared" si="42"/>
        <v>0.27692195901758465</v>
      </c>
      <c r="CB60" s="46">
        <f t="shared" si="43"/>
        <v>0.47977642276422766</v>
      </c>
      <c r="CC60" s="46">
        <f t="shared" si="44"/>
        <v>0.66666666666666663</v>
      </c>
      <c r="CD60" s="46">
        <f t="shared" si="45"/>
        <v>0.81815159574468088</v>
      </c>
      <c r="CE60" s="47">
        <f t="shared" si="46"/>
        <v>0.4559677721566423</v>
      </c>
      <c r="CF60" s="46">
        <f t="shared" si="47"/>
        <v>0.16930678680424358</v>
      </c>
      <c r="CG60" s="46">
        <f t="shared" si="48"/>
        <v>0.33760162601626015</v>
      </c>
      <c r="CH60" s="46">
        <f t="shared" si="49"/>
        <v>0.487620103473762</v>
      </c>
      <c r="CI60" s="46">
        <f t="shared" si="50"/>
        <v>0.66256648936170215</v>
      </c>
      <c r="CJ60" s="47">
        <f t="shared" si="51"/>
        <v>0.32115420648304288</v>
      </c>
      <c r="CK60" s="46">
        <f t="shared" si="123"/>
        <v>0.36204766749019035</v>
      </c>
      <c r="CL60" s="46">
        <f t="shared" si="123"/>
        <v>0.54222560975609757</v>
      </c>
      <c r="CM60" s="46">
        <f t="shared" si="123"/>
        <v>0.70496119733924612</v>
      </c>
      <c r="CN60" s="46">
        <f t="shared" si="123"/>
        <v>0.82039561170212771</v>
      </c>
      <c r="CO60" s="47">
        <f t="shared" si="53"/>
        <v>0.51842483292736241</v>
      </c>
      <c r="CP60" s="48"/>
    </row>
    <row r="61" spans="1:94" ht="30.75" customHeight="1" x14ac:dyDescent="0.3">
      <c r="A61" s="49">
        <v>45</v>
      </c>
      <c r="B61" s="50" t="s">
        <v>100</v>
      </c>
      <c r="C61" s="50" t="s">
        <v>101</v>
      </c>
      <c r="D61" s="51">
        <v>45901</v>
      </c>
      <c r="E61" s="52">
        <v>105</v>
      </c>
      <c r="F61" s="52">
        <v>88</v>
      </c>
      <c r="G61" s="53">
        <f t="shared" si="1"/>
        <v>0.83809523809523812</v>
      </c>
      <c r="H61" s="52">
        <v>4068</v>
      </c>
      <c r="I61" s="52">
        <v>3065</v>
      </c>
      <c r="J61" s="52">
        <v>1595</v>
      </c>
      <c r="K61" s="52">
        <v>1184</v>
      </c>
      <c r="L61" s="54">
        <f t="shared" si="3"/>
        <v>9912</v>
      </c>
      <c r="M61" s="52">
        <v>3926</v>
      </c>
      <c r="N61" s="52">
        <v>2926</v>
      </c>
      <c r="O61" s="52">
        <v>1518</v>
      </c>
      <c r="P61" s="52">
        <v>1034</v>
      </c>
      <c r="Q61" s="54">
        <f t="shared" si="5"/>
        <v>9404</v>
      </c>
      <c r="R61" s="52">
        <v>1152</v>
      </c>
      <c r="S61" s="52">
        <v>74</v>
      </c>
      <c r="T61" s="52">
        <v>7</v>
      </c>
      <c r="U61" s="52">
        <v>2</v>
      </c>
      <c r="V61" s="55">
        <f t="shared" si="7"/>
        <v>1235</v>
      </c>
      <c r="W61" s="52">
        <v>1193</v>
      </c>
      <c r="X61" s="52">
        <v>414</v>
      </c>
      <c r="Y61" s="52">
        <v>27</v>
      </c>
      <c r="Z61" s="52">
        <v>2</v>
      </c>
      <c r="AA61" s="55">
        <f t="shared" si="9"/>
        <v>1636</v>
      </c>
      <c r="AB61" s="52">
        <v>972</v>
      </c>
      <c r="AC61" s="52">
        <v>1323</v>
      </c>
      <c r="AD61" s="52">
        <v>540</v>
      </c>
      <c r="AE61" s="52">
        <v>274</v>
      </c>
      <c r="AF61" s="55">
        <f t="shared" si="11"/>
        <v>3109</v>
      </c>
      <c r="AG61" s="52">
        <v>609</v>
      </c>
      <c r="AH61" s="52">
        <v>1115</v>
      </c>
      <c r="AI61" s="52">
        <v>944</v>
      </c>
      <c r="AJ61" s="52">
        <v>756</v>
      </c>
      <c r="AK61" s="55">
        <f t="shared" si="13"/>
        <v>3424</v>
      </c>
      <c r="AL61" s="56">
        <f t="shared" si="14"/>
        <v>0.24758023433520121</v>
      </c>
      <c r="AM61" s="56">
        <f t="shared" si="15"/>
        <v>0.45215311004784686</v>
      </c>
      <c r="AN61" s="56">
        <f t="shared" si="16"/>
        <v>0.35573122529644269</v>
      </c>
      <c r="AO61" s="56">
        <f t="shared" si="17"/>
        <v>0.26499032882011603</v>
      </c>
      <c r="AP61" s="57">
        <f t="shared" si="18"/>
        <v>0.33060399829859632</v>
      </c>
      <c r="AQ61" s="56">
        <f t="shared" si="19"/>
        <v>0.15511971472236372</v>
      </c>
      <c r="AR61" s="56">
        <f t="shared" si="20"/>
        <v>0.38106630211893372</v>
      </c>
      <c r="AS61" s="56">
        <f t="shared" si="21"/>
        <v>0.62187088274044799</v>
      </c>
      <c r="AT61" s="56">
        <f t="shared" si="22"/>
        <v>0.7311411992263056</v>
      </c>
      <c r="AU61" s="57">
        <f t="shared" si="23"/>
        <v>0.36410038281582308</v>
      </c>
      <c r="AV61" s="52">
        <v>2070</v>
      </c>
      <c r="AW61" s="52">
        <v>2048</v>
      </c>
      <c r="AX61" s="52">
        <v>1250</v>
      </c>
      <c r="AY61" s="52">
        <v>915</v>
      </c>
      <c r="AZ61" s="58">
        <f t="shared" si="25"/>
        <v>6283</v>
      </c>
      <c r="BA61" s="52">
        <v>1776</v>
      </c>
      <c r="BB61" s="52">
        <v>1853</v>
      </c>
      <c r="BC61" s="52">
        <v>1131</v>
      </c>
      <c r="BD61" s="52">
        <v>877</v>
      </c>
      <c r="BE61" s="59">
        <f t="shared" si="27"/>
        <v>5637</v>
      </c>
      <c r="BF61" s="52">
        <v>801</v>
      </c>
      <c r="BG61" s="52">
        <v>1559</v>
      </c>
      <c r="BH61" s="52">
        <v>1004</v>
      </c>
      <c r="BI61" s="52">
        <v>843</v>
      </c>
      <c r="BJ61" s="60">
        <f t="shared" si="29"/>
        <v>4207</v>
      </c>
      <c r="BK61" s="52">
        <v>536</v>
      </c>
      <c r="BL61" s="52">
        <v>1119</v>
      </c>
      <c r="BM61" s="52">
        <v>766</v>
      </c>
      <c r="BN61" s="52">
        <v>706</v>
      </c>
      <c r="BO61" s="55">
        <f t="shared" si="31"/>
        <v>3127</v>
      </c>
      <c r="BP61" s="61"/>
      <c r="BQ61" s="62">
        <f t="shared" si="32"/>
        <v>0.52725420275089152</v>
      </c>
      <c r="BR61" s="62">
        <f t="shared" si="33"/>
        <v>0.6999316473000684</v>
      </c>
      <c r="BS61" s="62">
        <f t="shared" si="34"/>
        <v>0.82345191040843213</v>
      </c>
      <c r="BT61" s="62">
        <f t="shared" si="35"/>
        <v>0.88491295938104453</v>
      </c>
      <c r="BU61" s="63">
        <f t="shared" si="36"/>
        <v>0.66811994895789029</v>
      </c>
      <c r="BV61" s="62">
        <f t="shared" si="37"/>
        <v>0.45236882322975036</v>
      </c>
      <c r="BW61" s="62">
        <f t="shared" si="38"/>
        <v>0.63328776486671223</v>
      </c>
      <c r="BX61" s="62">
        <f t="shared" si="39"/>
        <v>0.74505928853754944</v>
      </c>
      <c r="BY61" s="62">
        <f t="shared" si="40"/>
        <v>0.84816247582205029</v>
      </c>
      <c r="BZ61" s="64">
        <f t="shared" si="41"/>
        <v>0.59942577626541893</v>
      </c>
      <c r="CA61" s="62">
        <f t="shared" si="42"/>
        <v>0.20402445236882322</v>
      </c>
      <c r="CB61" s="62">
        <f t="shared" si="43"/>
        <v>0.53280929596719073</v>
      </c>
      <c r="CC61" s="62">
        <f t="shared" si="44"/>
        <v>0.66139657444005273</v>
      </c>
      <c r="CD61" s="62">
        <f t="shared" si="45"/>
        <v>0.81528046421663447</v>
      </c>
      <c r="CE61" s="65">
        <f t="shared" si="46"/>
        <v>0.4473628243300723</v>
      </c>
      <c r="CF61" s="62">
        <f t="shared" si="47"/>
        <v>0.13652572592969944</v>
      </c>
      <c r="CG61" s="62">
        <f t="shared" si="48"/>
        <v>0.38243335611756663</v>
      </c>
      <c r="CH61" s="62">
        <f t="shared" si="49"/>
        <v>0.50461133069828723</v>
      </c>
      <c r="CI61" s="62">
        <f t="shared" si="50"/>
        <v>0.68278529980657643</v>
      </c>
      <c r="CJ61" s="66">
        <f t="shared" si="51"/>
        <v>0.33251807741386646</v>
      </c>
      <c r="CK61" s="62">
        <f t="shared" si="123"/>
        <v>0.33004330106979113</v>
      </c>
      <c r="CL61" s="62">
        <f t="shared" si="123"/>
        <v>0.56211551606288457</v>
      </c>
      <c r="CM61" s="62">
        <f t="shared" si="123"/>
        <v>0.68362977602108033</v>
      </c>
      <c r="CN61" s="62">
        <f t="shared" si="123"/>
        <v>0.80778529980657643</v>
      </c>
      <c r="CO61" s="67">
        <f t="shared" si="53"/>
        <v>0.51185665674181202</v>
      </c>
      <c r="CP61" s="48"/>
    </row>
    <row r="62" spans="1:94" ht="30.75" customHeight="1" x14ac:dyDescent="0.3">
      <c r="A62" s="49">
        <v>46</v>
      </c>
      <c r="B62" s="50" t="s">
        <v>100</v>
      </c>
      <c r="C62" s="50" t="s">
        <v>102</v>
      </c>
      <c r="D62" s="49" t="s">
        <v>103</v>
      </c>
      <c r="E62" s="52">
        <v>133</v>
      </c>
      <c r="F62" s="52">
        <v>131</v>
      </c>
      <c r="G62" s="53">
        <f t="shared" si="1"/>
        <v>0.98496240601503759</v>
      </c>
      <c r="H62" s="52">
        <v>3107</v>
      </c>
      <c r="I62" s="52">
        <v>2286</v>
      </c>
      <c r="J62" s="52">
        <v>1276</v>
      </c>
      <c r="K62" s="52">
        <v>637</v>
      </c>
      <c r="L62" s="54">
        <f t="shared" si="3"/>
        <v>7306</v>
      </c>
      <c r="M62" s="52">
        <v>2947</v>
      </c>
      <c r="N62" s="52">
        <v>2134</v>
      </c>
      <c r="O62" s="52">
        <v>1182</v>
      </c>
      <c r="P62" s="52">
        <v>565</v>
      </c>
      <c r="Q62" s="54">
        <f t="shared" si="5"/>
        <v>6828</v>
      </c>
      <c r="R62" s="52">
        <v>219</v>
      </c>
      <c r="S62" s="52">
        <v>20</v>
      </c>
      <c r="T62" s="52">
        <v>1</v>
      </c>
      <c r="U62" s="52">
        <v>0</v>
      </c>
      <c r="V62" s="55">
        <f t="shared" si="7"/>
        <v>240</v>
      </c>
      <c r="W62" s="52">
        <v>454</v>
      </c>
      <c r="X62" s="52">
        <v>99</v>
      </c>
      <c r="Y62" s="52">
        <v>13</v>
      </c>
      <c r="Z62" s="52">
        <v>2</v>
      </c>
      <c r="AA62" s="55">
        <f t="shared" si="9"/>
        <v>568</v>
      </c>
      <c r="AB62" s="52">
        <v>1205</v>
      </c>
      <c r="AC62" s="52">
        <v>591</v>
      </c>
      <c r="AD62" s="52">
        <v>115</v>
      </c>
      <c r="AE62" s="52">
        <v>77</v>
      </c>
      <c r="AF62" s="55">
        <f t="shared" si="11"/>
        <v>1988</v>
      </c>
      <c r="AG62" s="52">
        <v>1069</v>
      </c>
      <c r="AH62" s="52">
        <v>1424</v>
      </c>
      <c r="AI62" s="52">
        <v>1053</v>
      </c>
      <c r="AJ62" s="52">
        <v>486</v>
      </c>
      <c r="AK62" s="55">
        <f t="shared" si="13"/>
        <v>4032</v>
      </c>
      <c r="AL62" s="56">
        <f t="shared" si="14"/>
        <v>0.40889039701391244</v>
      </c>
      <c r="AM62" s="56">
        <f t="shared" si="15"/>
        <v>0.2769447047797563</v>
      </c>
      <c r="AN62" s="56">
        <f t="shared" si="16"/>
        <v>9.7292724196277491E-2</v>
      </c>
      <c r="AO62" s="56">
        <f t="shared" si="17"/>
        <v>0.13628318584070798</v>
      </c>
      <c r="AP62" s="57">
        <f t="shared" si="18"/>
        <v>0.29115407147041594</v>
      </c>
      <c r="AQ62" s="56">
        <f t="shared" si="19"/>
        <v>0.36274177129284019</v>
      </c>
      <c r="AR62" s="56">
        <f t="shared" si="20"/>
        <v>0.66729147141518275</v>
      </c>
      <c r="AS62" s="56">
        <f t="shared" si="21"/>
        <v>0.8908629441624365</v>
      </c>
      <c r="AT62" s="56">
        <f t="shared" si="22"/>
        <v>0.86017699115044244</v>
      </c>
      <c r="AU62" s="57">
        <f t="shared" si="23"/>
        <v>0.59050966608084354</v>
      </c>
      <c r="AV62" s="52">
        <v>1779</v>
      </c>
      <c r="AW62" s="52">
        <v>1587</v>
      </c>
      <c r="AX62" s="52">
        <v>1090</v>
      </c>
      <c r="AY62" s="52">
        <v>539</v>
      </c>
      <c r="AZ62" s="58">
        <f t="shared" si="25"/>
        <v>4995</v>
      </c>
      <c r="BA62" s="52">
        <v>1543</v>
      </c>
      <c r="BB62" s="52">
        <v>1379</v>
      </c>
      <c r="BC62" s="52">
        <v>1032</v>
      </c>
      <c r="BD62" s="52">
        <v>509</v>
      </c>
      <c r="BE62" s="59">
        <f t="shared" si="27"/>
        <v>4463</v>
      </c>
      <c r="BF62" s="52">
        <v>890</v>
      </c>
      <c r="BG62" s="52">
        <v>1020</v>
      </c>
      <c r="BH62" s="52">
        <v>787</v>
      </c>
      <c r="BI62" s="52">
        <v>430</v>
      </c>
      <c r="BJ62" s="60">
        <f t="shared" si="29"/>
        <v>3127</v>
      </c>
      <c r="BK62" s="52">
        <v>533</v>
      </c>
      <c r="BL62" s="52">
        <v>675</v>
      </c>
      <c r="BM62" s="52">
        <v>626</v>
      </c>
      <c r="BN62" s="52">
        <v>342</v>
      </c>
      <c r="BO62" s="55">
        <f t="shared" si="31"/>
        <v>2176</v>
      </c>
      <c r="BP62" s="61"/>
      <c r="BQ62" s="62">
        <f t="shared" si="32"/>
        <v>0.60366474380726165</v>
      </c>
      <c r="BR62" s="62">
        <f t="shared" si="33"/>
        <v>0.74367385192127455</v>
      </c>
      <c r="BS62" s="62">
        <f t="shared" si="34"/>
        <v>0.92216582064297803</v>
      </c>
      <c r="BT62" s="62">
        <f t="shared" si="35"/>
        <v>0.95398230088495573</v>
      </c>
      <c r="BU62" s="63">
        <f t="shared" si="36"/>
        <v>0.7315465729349736</v>
      </c>
      <c r="BV62" s="62">
        <f t="shared" si="37"/>
        <v>0.52358330505598916</v>
      </c>
      <c r="BW62" s="62">
        <f t="shared" si="38"/>
        <v>0.64620431115276478</v>
      </c>
      <c r="BX62" s="62">
        <f t="shared" si="39"/>
        <v>0.87309644670050757</v>
      </c>
      <c r="BY62" s="62">
        <f t="shared" si="40"/>
        <v>0.90088495575221239</v>
      </c>
      <c r="BZ62" s="64">
        <f t="shared" si="41"/>
        <v>0.65363210310486231</v>
      </c>
      <c r="CA62" s="62">
        <f t="shared" si="42"/>
        <v>0.30200203596878183</v>
      </c>
      <c r="CB62" s="62">
        <f t="shared" si="43"/>
        <v>0.47797563261480785</v>
      </c>
      <c r="CC62" s="62">
        <f t="shared" si="44"/>
        <v>0.66582064297800336</v>
      </c>
      <c r="CD62" s="62">
        <f t="shared" si="45"/>
        <v>0.76106194690265483</v>
      </c>
      <c r="CE62" s="65">
        <f t="shared" si="46"/>
        <v>0.45796719390743995</v>
      </c>
      <c r="CF62" s="62">
        <f t="shared" si="47"/>
        <v>0.18086189345096709</v>
      </c>
      <c r="CG62" s="62">
        <f t="shared" si="48"/>
        <v>0.31630740393626994</v>
      </c>
      <c r="CH62" s="62">
        <f t="shared" si="49"/>
        <v>0.52961082910321489</v>
      </c>
      <c r="CI62" s="62">
        <f t="shared" si="50"/>
        <v>0.6053097345132743</v>
      </c>
      <c r="CJ62" s="66">
        <f t="shared" si="51"/>
        <v>0.3186877562975981</v>
      </c>
      <c r="CK62" s="62">
        <f t="shared" si="123"/>
        <v>0.40252799457074995</v>
      </c>
      <c r="CL62" s="62">
        <f t="shared" si="123"/>
        <v>0.54604029990627934</v>
      </c>
      <c r="CM62" s="62">
        <f t="shared" si="123"/>
        <v>0.74767343485617599</v>
      </c>
      <c r="CN62" s="62">
        <f t="shared" si="123"/>
        <v>0.80530973451327426</v>
      </c>
      <c r="CO62" s="67">
        <f t="shared" si="53"/>
        <v>0.54045840656121846</v>
      </c>
      <c r="CP62" s="48"/>
    </row>
    <row r="63" spans="1:94" ht="30.75" customHeight="1" x14ac:dyDescent="0.3">
      <c r="A63" s="49">
        <v>47</v>
      </c>
      <c r="B63" s="50" t="s">
        <v>100</v>
      </c>
      <c r="C63" s="50" t="s">
        <v>104</v>
      </c>
      <c r="D63" s="49" t="s">
        <v>103</v>
      </c>
      <c r="E63" s="52">
        <v>73</v>
      </c>
      <c r="F63" s="52">
        <v>73</v>
      </c>
      <c r="G63" s="53">
        <f t="shared" si="1"/>
        <v>1</v>
      </c>
      <c r="H63" s="52">
        <v>1772</v>
      </c>
      <c r="I63" s="52">
        <v>1126</v>
      </c>
      <c r="J63" s="52">
        <v>586</v>
      </c>
      <c r="K63" s="52">
        <v>260</v>
      </c>
      <c r="L63" s="54">
        <f t="shared" si="3"/>
        <v>3744</v>
      </c>
      <c r="M63" s="52">
        <v>1702</v>
      </c>
      <c r="N63" s="52">
        <v>1072</v>
      </c>
      <c r="O63" s="52">
        <v>563</v>
      </c>
      <c r="P63" s="52">
        <v>251</v>
      </c>
      <c r="Q63" s="54">
        <f t="shared" si="5"/>
        <v>3588</v>
      </c>
      <c r="R63" s="52">
        <v>267</v>
      </c>
      <c r="S63" s="52">
        <v>21</v>
      </c>
      <c r="T63" s="52">
        <v>0</v>
      </c>
      <c r="U63" s="52">
        <v>0</v>
      </c>
      <c r="V63" s="55">
        <f t="shared" si="7"/>
        <v>288</v>
      </c>
      <c r="W63" s="52">
        <v>368</v>
      </c>
      <c r="X63" s="52">
        <v>141</v>
      </c>
      <c r="Y63" s="52">
        <v>2</v>
      </c>
      <c r="Z63" s="52">
        <v>0</v>
      </c>
      <c r="AA63" s="55">
        <f t="shared" si="9"/>
        <v>511</v>
      </c>
      <c r="AB63" s="52">
        <v>504</v>
      </c>
      <c r="AC63" s="52">
        <v>329</v>
      </c>
      <c r="AD63" s="52">
        <v>116</v>
      </c>
      <c r="AE63" s="52">
        <v>24</v>
      </c>
      <c r="AF63" s="55">
        <f t="shared" si="11"/>
        <v>973</v>
      </c>
      <c r="AG63" s="52">
        <v>563</v>
      </c>
      <c r="AH63" s="52">
        <v>581</v>
      </c>
      <c r="AI63" s="52">
        <v>445</v>
      </c>
      <c r="AJ63" s="52">
        <v>227</v>
      </c>
      <c r="AK63" s="55">
        <f t="shared" si="13"/>
        <v>1816</v>
      </c>
      <c r="AL63" s="56">
        <f t="shared" si="14"/>
        <v>0.29612220916568743</v>
      </c>
      <c r="AM63" s="56">
        <f t="shared" si="15"/>
        <v>0.30690298507462688</v>
      </c>
      <c r="AN63" s="56">
        <f t="shared" si="16"/>
        <v>0.20603907637655416</v>
      </c>
      <c r="AO63" s="56">
        <f t="shared" si="17"/>
        <v>9.5617529880478086E-2</v>
      </c>
      <c r="AP63" s="57">
        <f t="shared" si="18"/>
        <v>0.27118171683389075</v>
      </c>
      <c r="AQ63" s="56">
        <f t="shared" si="19"/>
        <v>0.3307873090481786</v>
      </c>
      <c r="AR63" s="56">
        <f t="shared" si="20"/>
        <v>0.54197761194029848</v>
      </c>
      <c r="AS63" s="56">
        <f t="shared" si="21"/>
        <v>0.79040852575488452</v>
      </c>
      <c r="AT63" s="56">
        <f t="shared" si="22"/>
        <v>0.90438247011952189</v>
      </c>
      <c r="AU63" s="57">
        <f t="shared" si="23"/>
        <v>0.50613154960981044</v>
      </c>
      <c r="AV63" s="52">
        <v>1092</v>
      </c>
      <c r="AW63" s="52">
        <v>853</v>
      </c>
      <c r="AX63" s="52">
        <v>502</v>
      </c>
      <c r="AY63" s="52">
        <v>248</v>
      </c>
      <c r="AZ63" s="58">
        <f t="shared" si="25"/>
        <v>2695</v>
      </c>
      <c r="BA63" s="52">
        <v>969</v>
      </c>
      <c r="BB63" s="52">
        <v>782</v>
      </c>
      <c r="BC63" s="52">
        <v>498</v>
      </c>
      <c r="BD63" s="52">
        <v>246</v>
      </c>
      <c r="BE63" s="59">
        <f t="shared" si="27"/>
        <v>2495</v>
      </c>
      <c r="BF63" s="52">
        <v>678</v>
      </c>
      <c r="BG63" s="52">
        <v>541</v>
      </c>
      <c r="BH63" s="52">
        <v>405</v>
      </c>
      <c r="BI63" s="52">
        <v>208</v>
      </c>
      <c r="BJ63" s="60">
        <f t="shared" si="29"/>
        <v>1832</v>
      </c>
      <c r="BK63" s="52">
        <v>453</v>
      </c>
      <c r="BL63" s="52">
        <v>462</v>
      </c>
      <c r="BM63" s="52">
        <v>327</v>
      </c>
      <c r="BN63" s="52">
        <v>184</v>
      </c>
      <c r="BO63" s="55">
        <f t="shared" si="31"/>
        <v>1426</v>
      </c>
      <c r="BP63" s="61"/>
      <c r="BQ63" s="62">
        <f t="shared" si="32"/>
        <v>0.6415981198589894</v>
      </c>
      <c r="BR63" s="62">
        <f t="shared" si="33"/>
        <v>0.79570895522388063</v>
      </c>
      <c r="BS63" s="62">
        <f t="shared" si="34"/>
        <v>0.89165186500888094</v>
      </c>
      <c r="BT63" s="62">
        <f t="shared" si="35"/>
        <v>0.98804780876494025</v>
      </c>
      <c r="BU63" s="63">
        <f t="shared" si="36"/>
        <v>0.75111482720178369</v>
      </c>
      <c r="BV63" s="62">
        <f t="shared" si="37"/>
        <v>0.56933019976498234</v>
      </c>
      <c r="BW63" s="62">
        <f t="shared" si="38"/>
        <v>0.72947761194029848</v>
      </c>
      <c r="BX63" s="62">
        <f t="shared" si="39"/>
        <v>0.88454706927175841</v>
      </c>
      <c r="BY63" s="62">
        <f t="shared" si="40"/>
        <v>0.98007968127490042</v>
      </c>
      <c r="BZ63" s="64">
        <f t="shared" si="41"/>
        <v>0.69537346711259751</v>
      </c>
      <c r="CA63" s="62">
        <f t="shared" si="42"/>
        <v>0.3983548766157462</v>
      </c>
      <c r="CB63" s="62">
        <f t="shared" si="43"/>
        <v>0.50466417910447758</v>
      </c>
      <c r="CC63" s="62">
        <f t="shared" si="44"/>
        <v>0.71936056838365892</v>
      </c>
      <c r="CD63" s="62">
        <f t="shared" si="45"/>
        <v>0.82868525896414347</v>
      </c>
      <c r="CE63" s="65">
        <f t="shared" si="46"/>
        <v>0.5105908584169454</v>
      </c>
      <c r="CF63" s="62">
        <f t="shared" si="47"/>
        <v>0.26615746180963573</v>
      </c>
      <c r="CG63" s="62">
        <f t="shared" si="48"/>
        <v>0.43097014925373134</v>
      </c>
      <c r="CH63" s="62">
        <f t="shared" si="49"/>
        <v>0.58081705150976914</v>
      </c>
      <c r="CI63" s="62">
        <f t="shared" si="50"/>
        <v>0.73306772908366535</v>
      </c>
      <c r="CJ63" s="66">
        <f t="shared" si="51"/>
        <v>0.39743589743589741</v>
      </c>
      <c r="CK63" s="62">
        <f t="shared" si="123"/>
        <v>0.46886016451233836</v>
      </c>
      <c r="CL63" s="62">
        <f t="shared" si="123"/>
        <v>0.61520522388059706</v>
      </c>
      <c r="CM63" s="62">
        <f t="shared" si="123"/>
        <v>0.76909413854351683</v>
      </c>
      <c r="CN63" s="62">
        <f t="shared" si="123"/>
        <v>0.88247011952191245</v>
      </c>
      <c r="CO63" s="67">
        <f t="shared" si="53"/>
        <v>0.58862876254180596</v>
      </c>
      <c r="CP63" s="48"/>
    </row>
    <row r="64" spans="1:94" ht="30.75" customHeight="1" x14ac:dyDescent="0.3">
      <c r="A64" s="49">
        <v>48</v>
      </c>
      <c r="B64" s="50" t="s">
        <v>100</v>
      </c>
      <c r="C64" s="50" t="s">
        <v>105</v>
      </c>
      <c r="D64" s="49" t="s">
        <v>103</v>
      </c>
      <c r="E64" s="52">
        <v>64</v>
      </c>
      <c r="F64" s="52">
        <v>62</v>
      </c>
      <c r="G64" s="53">
        <f t="shared" si="1"/>
        <v>0.96875</v>
      </c>
      <c r="H64" s="52">
        <v>2024</v>
      </c>
      <c r="I64" s="52">
        <v>1216</v>
      </c>
      <c r="J64" s="52">
        <v>773</v>
      </c>
      <c r="K64" s="52">
        <v>350</v>
      </c>
      <c r="L64" s="54">
        <f t="shared" si="3"/>
        <v>4363</v>
      </c>
      <c r="M64" s="52">
        <v>1972</v>
      </c>
      <c r="N64" s="52">
        <v>1196</v>
      </c>
      <c r="O64" s="52">
        <v>760</v>
      </c>
      <c r="P64" s="52">
        <v>348</v>
      </c>
      <c r="Q64" s="54">
        <f t="shared" si="5"/>
        <v>4276</v>
      </c>
      <c r="R64" s="52">
        <v>87</v>
      </c>
      <c r="S64" s="52">
        <v>6</v>
      </c>
      <c r="T64" s="52">
        <v>0</v>
      </c>
      <c r="U64" s="52">
        <v>0</v>
      </c>
      <c r="V64" s="55">
        <f t="shared" si="7"/>
        <v>93</v>
      </c>
      <c r="W64" s="52">
        <v>373</v>
      </c>
      <c r="X64" s="52">
        <v>57</v>
      </c>
      <c r="Y64" s="52">
        <v>10</v>
      </c>
      <c r="Z64" s="52">
        <v>0</v>
      </c>
      <c r="AA64" s="55">
        <f t="shared" si="9"/>
        <v>440</v>
      </c>
      <c r="AB64" s="52">
        <v>707</v>
      </c>
      <c r="AC64" s="52">
        <v>301</v>
      </c>
      <c r="AD64" s="52">
        <v>120</v>
      </c>
      <c r="AE64" s="52">
        <v>8</v>
      </c>
      <c r="AF64" s="55">
        <f t="shared" si="11"/>
        <v>1136</v>
      </c>
      <c r="AG64" s="52">
        <v>805</v>
      </c>
      <c r="AH64" s="52">
        <v>832</v>
      </c>
      <c r="AI64" s="52">
        <v>630</v>
      </c>
      <c r="AJ64" s="52">
        <v>340</v>
      </c>
      <c r="AK64" s="55">
        <f t="shared" si="13"/>
        <v>2607</v>
      </c>
      <c r="AL64" s="56">
        <f t="shared" si="14"/>
        <v>0.35851926977687626</v>
      </c>
      <c r="AM64" s="56">
        <f t="shared" si="15"/>
        <v>0.25167224080267558</v>
      </c>
      <c r="AN64" s="56">
        <f t="shared" si="16"/>
        <v>0.15789473684210525</v>
      </c>
      <c r="AO64" s="56">
        <f t="shared" si="17"/>
        <v>2.2988505747126436E-2</v>
      </c>
      <c r="AP64" s="57">
        <f t="shared" si="18"/>
        <v>0.26566884939195512</v>
      </c>
      <c r="AQ64" s="56">
        <f t="shared" si="19"/>
        <v>0.40821501014198786</v>
      </c>
      <c r="AR64" s="56">
        <f t="shared" si="20"/>
        <v>0.69565217391304346</v>
      </c>
      <c r="AS64" s="56">
        <f t="shared" si="21"/>
        <v>0.82894736842105265</v>
      </c>
      <c r="AT64" s="56">
        <f t="shared" si="22"/>
        <v>0.97701149425287359</v>
      </c>
      <c r="AU64" s="57">
        <f t="shared" si="23"/>
        <v>0.60968194574368573</v>
      </c>
      <c r="AV64" s="52">
        <v>1063</v>
      </c>
      <c r="AW64" s="52">
        <v>951</v>
      </c>
      <c r="AX64" s="52">
        <v>696</v>
      </c>
      <c r="AY64" s="52">
        <v>339</v>
      </c>
      <c r="AZ64" s="58">
        <f t="shared" si="25"/>
        <v>3049</v>
      </c>
      <c r="BA64" s="52">
        <v>870</v>
      </c>
      <c r="BB64" s="52">
        <v>790</v>
      </c>
      <c r="BC64" s="52">
        <v>611</v>
      </c>
      <c r="BD64" s="52">
        <v>331</v>
      </c>
      <c r="BE64" s="59">
        <f t="shared" si="27"/>
        <v>2602</v>
      </c>
      <c r="BF64" s="52">
        <v>512</v>
      </c>
      <c r="BG64" s="52">
        <v>572</v>
      </c>
      <c r="BH64" s="52">
        <v>523</v>
      </c>
      <c r="BI64" s="52">
        <v>304</v>
      </c>
      <c r="BJ64" s="60">
        <f t="shared" si="29"/>
        <v>1911</v>
      </c>
      <c r="BK64" s="52">
        <v>306</v>
      </c>
      <c r="BL64" s="52">
        <v>360</v>
      </c>
      <c r="BM64" s="52">
        <v>372</v>
      </c>
      <c r="BN64" s="52">
        <v>269</v>
      </c>
      <c r="BO64" s="55">
        <f t="shared" si="31"/>
        <v>1307</v>
      </c>
      <c r="BP64" s="61"/>
      <c r="BQ64" s="62">
        <f t="shared" si="32"/>
        <v>0.53904665314401623</v>
      </c>
      <c r="BR64" s="62">
        <f t="shared" si="33"/>
        <v>0.79515050167224077</v>
      </c>
      <c r="BS64" s="62">
        <f t="shared" si="34"/>
        <v>0.91578947368421049</v>
      </c>
      <c r="BT64" s="62">
        <f t="shared" si="35"/>
        <v>0.97413793103448276</v>
      </c>
      <c r="BU64" s="63">
        <f t="shared" si="36"/>
        <v>0.71304957904583721</v>
      </c>
      <c r="BV64" s="62">
        <f t="shared" si="37"/>
        <v>0.44117647058823528</v>
      </c>
      <c r="BW64" s="62">
        <f t="shared" si="38"/>
        <v>0.66053511705685619</v>
      </c>
      <c r="BX64" s="62">
        <f t="shared" si="39"/>
        <v>0.80394736842105263</v>
      </c>
      <c r="BY64" s="62">
        <f t="shared" si="40"/>
        <v>0.95114942528735635</v>
      </c>
      <c r="BZ64" s="64">
        <f t="shared" si="41"/>
        <v>0.60851262862488309</v>
      </c>
      <c r="CA64" s="62">
        <f t="shared" si="42"/>
        <v>0.25963488843813387</v>
      </c>
      <c r="CB64" s="62">
        <f t="shared" si="43"/>
        <v>0.47826086956521741</v>
      </c>
      <c r="CC64" s="62">
        <f t="shared" si="44"/>
        <v>0.68815789473684208</v>
      </c>
      <c r="CD64" s="62">
        <f t="shared" si="45"/>
        <v>0.87356321839080464</v>
      </c>
      <c r="CE64" s="65">
        <f t="shared" si="46"/>
        <v>0.44691300280636109</v>
      </c>
      <c r="CF64" s="62">
        <f t="shared" si="47"/>
        <v>0.15517241379310345</v>
      </c>
      <c r="CG64" s="62">
        <f t="shared" si="48"/>
        <v>0.30100334448160537</v>
      </c>
      <c r="CH64" s="62">
        <f t="shared" si="49"/>
        <v>0.48947368421052634</v>
      </c>
      <c r="CI64" s="62">
        <f t="shared" si="50"/>
        <v>0.77298850574712641</v>
      </c>
      <c r="CJ64" s="66">
        <f t="shared" si="51"/>
        <v>0.30565949485500465</v>
      </c>
      <c r="CK64" s="62">
        <f t="shared" si="123"/>
        <v>0.34875760649087223</v>
      </c>
      <c r="CL64" s="62">
        <f t="shared" si="123"/>
        <v>0.55873745819397991</v>
      </c>
      <c r="CM64" s="62">
        <f t="shared" si="123"/>
        <v>0.7243421052631579</v>
      </c>
      <c r="CN64" s="62">
        <f t="shared" si="123"/>
        <v>0.89295977011494254</v>
      </c>
      <c r="CO64" s="67">
        <f t="shared" si="53"/>
        <v>0.5185336763330215</v>
      </c>
      <c r="CP64" s="48"/>
    </row>
    <row r="65" spans="1:94" ht="30.75" customHeight="1" x14ac:dyDescent="0.3">
      <c r="A65" s="49">
        <v>49</v>
      </c>
      <c r="B65" s="50" t="s">
        <v>100</v>
      </c>
      <c r="C65" s="50" t="s">
        <v>106</v>
      </c>
      <c r="D65" s="49" t="s">
        <v>103</v>
      </c>
      <c r="E65" s="52">
        <v>83</v>
      </c>
      <c r="F65" s="52">
        <v>77</v>
      </c>
      <c r="G65" s="53">
        <f t="shared" si="1"/>
        <v>0.92771084337349397</v>
      </c>
      <c r="H65" s="52">
        <v>3799</v>
      </c>
      <c r="I65" s="52">
        <v>2765</v>
      </c>
      <c r="J65" s="52">
        <v>1511</v>
      </c>
      <c r="K65" s="52">
        <v>844</v>
      </c>
      <c r="L65" s="54">
        <f t="shared" si="3"/>
        <v>8919</v>
      </c>
      <c r="M65" s="52">
        <v>3215</v>
      </c>
      <c r="N65" s="52">
        <v>2512</v>
      </c>
      <c r="O65" s="52">
        <v>1389</v>
      </c>
      <c r="P65" s="52">
        <v>810</v>
      </c>
      <c r="Q65" s="42">
        <f t="shared" si="5"/>
        <v>7926</v>
      </c>
      <c r="R65" s="52">
        <v>282</v>
      </c>
      <c r="S65" s="52">
        <v>29</v>
      </c>
      <c r="T65" s="52">
        <v>9</v>
      </c>
      <c r="U65" s="52">
        <v>0</v>
      </c>
      <c r="V65" s="55">
        <f t="shared" si="7"/>
        <v>320</v>
      </c>
      <c r="W65" s="52">
        <v>581</v>
      </c>
      <c r="X65" s="52">
        <v>124</v>
      </c>
      <c r="Y65" s="52">
        <v>18</v>
      </c>
      <c r="Z65" s="52">
        <v>0</v>
      </c>
      <c r="AA65" s="55">
        <f t="shared" si="9"/>
        <v>723</v>
      </c>
      <c r="AB65" s="52">
        <v>1270</v>
      </c>
      <c r="AC65" s="52">
        <v>789</v>
      </c>
      <c r="AD65" s="52">
        <v>237</v>
      </c>
      <c r="AE65" s="52">
        <v>40</v>
      </c>
      <c r="AF65" s="55">
        <f t="shared" si="11"/>
        <v>2336</v>
      </c>
      <c r="AG65" s="52">
        <v>1082</v>
      </c>
      <c r="AH65" s="52">
        <v>1570</v>
      </c>
      <c r="AI65" s="52">
        <v>1125</v>
      </c>
      <c r="AJ65" s="52">
        <v>770</v>
      </c>
      <c r="AK65" s="55">
        <f t="shared" si="13"/>
        <v>4547</v>
      </c>
      <c r="AL65" s="56">
        <f t="shared" si="14"/>
        <v>0.39502332814930013</v>
      </c>
      <c r="AM65" s="56">
        <f t="shared" si="15"/>
        <v>0.31409235668789809</v>
      </c>
      <c r="AN65" s="56">
        <f t="shared" si="16"/>
        <v>0.17062634989200864</v>
      </c>
      <c r="AO65" s="56">
        <f t="shared" si="17"/>
        <v>4.9382716049382713E-2</v>
      </c>
      <c r="AP65" s="57">
        <f t="shared" si="18"/>
        <v>0.29472621751198586</v>
      </c>
      <c r="AQ65" s="56">
        <f t="shared" si="19"/>
        <v>0.336547433903577</v>
      </c>
      <c r="AR65" s="56">
        <f t="shared" si="20"/>
        <v>0.625</v>
      </c>
      <c r="AS65" s="56">
        <f t="shared" si="21"/>
        <v>0.80993520518358531</v>
      </c>
      <c r="AT65" s="56">
        <f t="shared" si="22"/>
        <v>0.95061728395061729</v>
      </c>
      <c r="AU65" s="57">
        <f t="shared" si="23"/>
        <v>0.57368155437799651</v>
      </c>
      <c r="AV65" s="52">
        <v>1581</v>
      </c>
      <c r="AW65" s="52">
        <v>1795</v>
      </c>
      <c r="AX65" s="52">
        <v>1205</v>
      </c>
      <c r="AY65" s="52">
        <v>743</v>
      </c>
      <c r="AZ65" s="58">
        <f t="shared" si="25"/>
        <v>5324</v>
      </c>
      <c r="BA65" s="52">
        <v>1046</v>
      </c>
      <c r="BB65" s="52">
        <v>1261</v>
      </c>
      <c r="BC65" s="52">
        <v>999</v>
      </c>
      <c r="BD65" s="52">
        <v>670</v>
      </c>
      <c r="BE65" s="59">
        <f t="shared" si="27"/>
        <v>3976</v>
      </c>
      <c r="BF65" s="52">
        <v>930</v>
      </c>
      <c r="BG65" s="52">
        <v>1029</v>
      </c>
      <c r="BH65" s="52">
        <v>889</v>
      </c>
      <c r="BI65" s="52">
        <v>676</v>
      </c>
      <c r="BJ65" s="60">
        <f t="shared" si="29"/>
        <v>3524</v>
      </c>
      <c r="BK65" s="52">
        <v>502</v>
      </c>
      <c r="BL65" s="52">
        <v>706</v>
      </c>
      <c r="BM65" s="52">
        <v>548</v>
      </c>
      <c r="BN65" s="52">
        <v>492</v>
      </c>
      <c r="BO65" s="55">
        <f t="shared" si="31"/>
        <v>2248</v>
      </c>
      <c r="BP65" s="61"/>
      <c r="BQ65" s="62">
        <f t="shared" si="32"/>
        <v>0.49175738724727841</v>
      </c>
      <c r="BR65" s="62">
        <f t="shared" si="33"/>
        <v>0.71457006369426757</v>
      </c>
      <c r="BS65" s="62">
        <f t="shared" si="34"/>
        <v>0.86753059755219586</v>
      </c>
      <c r="BT65" s="62">
        <f t="shared" si="35"/>
        <v>0.91728395061728396</v>
      </c>
      <c r="BU65" s="63">
        <f t="shared" si="36"/>
        <v>0.67171334847337871</v>
      </c>
      <c r="BV65" s="62">
        <f t="shared" si="37"/>
        <v>0.32534992223950232</v>
      </c>
      <c r="BW65" s="62">
        <f t="shared" si="38"/>
        <v>0.50199044585987262</v>
      </c>
      <c r="BX65" s="62">
        <f t="shared" si="39"/>
        <v>0.71922246220302377</v>
      </c>
      <c r="BY65" s="62">
        <f t="shared" si="40"/>
        <v>0.8271604938271605</v>
      </c>
      <c r="BZ65" s="64">
        <f t="shared" si="41"/>
        <v>0.50164017158718144</v>
      </c>
      <c r="CA65" s="62">
        <f t="shared" si="42"/>
        <v>0.28926905132192848</v>
      </c>
      <c r="CB65" s="62">
        <f t="shared" si="43"/>
        <v>0.40963375796178342</v>
      </c>
      <c r="CC65" s="62">
        <f t="shared" si="44"/>
        <v>0.64002879769618426</v>
      </c>
      <c r="CD65" s="62">
        <f t="shared" si="45"/>
        <v>0.83456790123456792</v>
      </c>
      <c r="CE65" s="65">
        <f t="shared" si="46"/>
        <v>0.44461266717133485</v>
      </c>
      <c r="CF65" s="62">
        <f t="shared" si="47"/>
        <v>0.15614307931570762</v>
      </c>
      <c r="CG65" s="62">
        <f t="shared" si="48"/>
        <v>0.28105095541401276</v>
      </c>
      <c r="CH65" s="62">
        <f t="shared" si="49"/>
        <v>0.39452843772498203</v>
      </c>
      <c r="CI65" s="62">
        <f t="shared" si="50"/>
        <v>0.6074074074074074</v>
      </c>
      <c r="CJ65" s="66">
        <f t="shared" si="51"/>
        <v>0.28362351753721926</v>
      </c>
      <c r="CK65" s="62">
        <f t="shared" si="123"/>
        <v>0.31562986003110421</v>
      </c>
      <c r="CL65" s="62">
        <f t="shared" si="123"/>
        <v>0.47681130573248409</v>
      </c>
      <c r="CM65" s="62">
        <f t="shared" si="123"/>
        <v>0.65532757379409645</v>
      </c>
      <c r="CN65" s="62">
        <f t="shared" si="123"/>
        <v>0.79660493827160495</v>
      </c>
      <c r="CO65" s="67">
        <f t="shared" si="53"/>
        <v>0.47539742619227854</v>
      </c>
      <c r="CP65" s="48"/>
    </row>
    <row r="66" spans="1:94" ht="30.75" customHeight="1" x14ac:dyDescent="0.3">
      <c r="A66" s="36" t="s">
        <v>107</v>
      </c>
      <c r="B66" s="37"/>
      <c r="C66" s="38"/>
      <c r="D66" s="39"/>
      <c r="E66" s="40">
        <f t="shared" ref="E66:F66" si="158">SUM(E67:E68)</f>
        <v>637</v>
      </c>
      <c r="F66" s="40">
        <f t="shared" si="158"/>
        <v>515</v>
      </c>
      <c r="G66" s="41">
        <f t="shared" si="1"/>
        <v>0.80847723704866559</v>
      </c>
      <c r="H66" s="40">
        <f t="shared" ref="H66:K66" si="159">SUM(H67:H68)</f>
        <v>16681</v>
      </c>
      <c r="I66" s="40">
        <f t="shared" si="159"/>
        <v>14854</v>
      </c>
      <c r="J66" s="40">
        <f t="shared" si="159"/>
        <v>11372</v>
      </c>
      <c r="K66" s="40">
        <f t="shared" si="159"/>
        <v>7975</v>
      </c>
      <c r="L66" s="42">
        <f t="shared" si="3"/>
        <v>50882</v>
      </c>
      <c r="M66" s="40">
        <f t="shared" ref="M66:P66" si="160">SUM(M67:M68)</f>
        <v>15907</v>
      </c>
      <c r="N66" s="40">
        <f t="shared" si="160"/>
        <v>13785</v>
      </c>
      <c r="O66" s="40">
        <f t="shared" si="160"/>
        <v>10978</v>
      </c>
      <c r="P66" s="40">
        <f t="shared" si="160"/>
        <v>7554</v>
      </c>
      <c r="Q66" s="42">
        <f t="shared" si="5"/>
        <v>48224</v>
      </c>
      <c r="R66" s="40">
        <f t="shared" ref="R66:U66" si="161">SUM(R67:R68)</f>
        <v>1155</v>
      </c>
      <c r="S66" s="40">
        <f t="shared" si="161"/>
        <v>238</v>
      </c>
      <c r="T66" s="40">
        <f t="shared" si="161"/>
        <v>22</v>
      </c>
      <c r="U66" s="40">
        <f t="shared" si="161"/>
        <v>3</v>
      </c>
      <c r="V66" s="43">
        <f t="shared" si="7"/>
        <v>1418</v>
      </c>
      <c r="W66" s="40">
        <f t="shared" ref="W66:Z66" si="162">SUM(W67:W68)</f>
        <v>0</v>
      </c>
      <c r="X66" s="40">
        <f t="shared" si="162"/>
        <v>1539</v>
      </c>
      <c r="Y66" s="40">
        <f t="shared" si="162"/>
        <v>423</v>
      </c>
      <c r="Z66" s="40">
        <f t="shared" si="162"/>
        <v>113</v>
      </c>
      <c r="AA66" s="43">
        <f t="shared" si="9"/>
        <v>2075</v>
      </c>
      <c r="AB66" s="40">
        <f t="shared" ref="AB66:AE66" si="163">SUM(AB67:AB68)</f>
        <v>0</v>
      </c>
      <c r="AC66" s="40">
        <f t="shared" si="163"/>
        <v>0</v>
      </c>
      <c r="AD66" s="40">
        <f t="shared" si="163"/>
        <v>992</v>
      </c>
      <c r="AE66" s="40">
        <f t="shared" si="163"/>
        <v>849</v>
      </c>
      <c r="AF66" s="43">
        <f t="shared" si="11"/>
        <v>1841</v>
      </c>
      <c r="AG66" s="40">
        <f t="shared" ref="AG66:AI66" si="164">SUM(AG67:AG70)</f>
        <v>8926</v>
      </c>
      <c r="AH66" s="40">
        <f t="shared" si="164"/>
        <v>14396</v>
      </c>
      <c r="AI66" s="40">
        <f t="shared" si="164"/>
        <v>15989</v>
      </c>
      <c r="AJ66" s="40">
        <f>SUM(AJ67:AJ68)</f>
        <v>0</v>
      </c>
      <c r="AK66" s="43">
        <f t="shared" si="13"/>
        <v>39311</v>
      </c>
      <c r="AL66" s="44">
        <f t="shared" si="14"/>
        <v>0</v>
      </c>
      <c r="AM66" s="44">
        <f t="shared" si="15"/>
        <v>0</v>
      </c>
      <c r="AN66" s="44">
        <f t="shared" si="16"/>
        <v>9.0362543268354897E-2</v>
      </c>
      <c r="AO66" s="44">
        <f t="shared" si="17"/>
        <v>0.11239078633836377</v>
      </c>
      <c r="AP66" s="44">
        <f t="shared" si="18"/>
        <v>3.8176011944260117E-2</v>
      </c>
      <c r="AQ66" s="44">
        <f t="shared" si="19"/>
        <v>0.56113660652542907</v>
      </c>
      <c r="AR66" s="44">
        <f t="shared" si="20"/>
        <v>1.0443235400797968</v>
      </c>
      <c r="AS66" s="44">
        <f t="shared" si="21"/>
        <v>1.4564583712880306</v>
      </c>
      <c r="AT66" s="44">
        <f t="shared" si="22"/>
        <v>0</v>
      </c>
      <c r="AU66" s="44">
        <f t="shared" si="23"/>
        <v>0.81517501658925018</v>
      </c>
      <c r="AV66" s="40">
        <f t="shared" ref="AV66:AY66" si="165">SUM(AV67:AV68)</f>
        <v>5743</v>
      </c>
      <c r="AW66" s="40">
        <f t="shared" si="165"/>
        <v>8917</v>
      </c>
      <c r="AX66" s="40">
        <f t="shared" si="165"/>
        <v>8800</v>
      </c>
      <c r="AY66" s="40">
        <f t="shared" si="165"/>
        <v>6581</v>
      </c>
      <c r="AZ66" s="43">
        <f t="shared" si="25"/>
        <v>30041</v>
      </c>
      <c r="BA66" s="40">
        <f t="shared" ref="BA66:BD66" si="166">SUM(BA67:BA68)</f>
        <v>4301</v>
      </c>
      <c r="BB66" s="40">
        <f t="shared" si="166"/>
        <v>6603</v>
      </c>
      <c r="BC66" s="40">
        <f t="shared" si="166"/>
        <v>7565</v>
      </c>
      <c r="BD66" s="40">
        <f t="shared" si="166"/>
        <v>6072</v>
      </c>
      <c r="BE66" s="43">
        <f t="shared" si="27"/>
        <v>24541</v>
      </c>
      <c r="BF66" s="40">
        <f t="shared" ref="BF66:BI66" si="167">SUM(BF67:BF68)</f>
        <v>1578</v>
      </c>
      <c r="BG66" s="40">
        <f t="shared" si="167"/>
        <v>3830</v>
      </c>
      <c r="BH66" s="40">
        <f t="shared" si="167"/>
        <v>5588</v>
      </c>
      <c r="BI66" s="40">
        <f t="shared" si="167"/>
        <v>5288</v>
      </c>
      <c r="BJ66" s="43">
        <f t="shared" si="29"/>
        <v>16284</v>
      </c>
      <c r="BK66" s="40">
        <f t="shared" ref="BK66:BN66" si="168">SUM(BK67:BK68)</f>
        <v>872</v>
      </c>
      <c r="BL66" s="40">
        <f t="shared" si="168"/>
        <v>1744</v>
      </c>
      <c r="BM66" s="40">
        <f t="shared" si="168"/>
        <v>3349</v>
      </c>
      <c r="BN66" s="40">
        <f t="shared" si="168"/>
        <v>4032</v>
      </c>
      <c r="BO66" s="43">
        <f t="shared" si="31"/>
        <v>9997</v>
      </c>
      <c r="BP66" s="45" t="e">
        <f>+AVERAGE(BP67:BP68)</f>
        <v>#DIV/0!</v>
      </c>
      <c r="BQ66" s="46">
        <f t="shared" si="32"/>
        <v>0.361036021877161</v>
      </c>
      <c r="BR66" s="46">
        <f t="shared" si="33"/>
        <v>0.64686253173739572</v>
      </c>
      <c r="BS66" s="46">
        <f t="shared" si="34"/>
        <v>0.80160320641282568</v>
      </c>
      <c r="BT66" s="46">
        <f t="shared" si="35"/>
        <v>0.87119406936722266</v>
      </c>
      <c r="BU66" s="46">
        <f t="shared" si="36"/>
        <v>0.62294708029197077</v>
      </c>
      <c r="BV66" s="46">
        <f t="shared" si="37"/>
        <v>0.27038410762557363</v>
      </c>
      <c r="BW66" s="46">
        <f t="shared" si="38"/>
        <v>0.47899891186071819</v>
      </c>
      <c r="BX66" s="46">
        <f t="shared" si="39"/>
        <v>0.68910548369466207</v>
      </c>
      <c r="BY66" s="46">
        <f t="shared" si="40"/>
        <v>0.80381254964257343</v>
      </c>
      <c r="BZ66" s="47">
        <f t="shared" si="41"/>
        <v>0.50889598540145986</v>
      </c>
      <c r="CA66" s="46">
        <f t="shared" si="42"/>
        <v>9.9201609354372292E-2</v>
      </c>
      <c r="CB66" s="46">
        <f t="shared" si="43"/>
        <v>0.27783822996010155</v>
      </c>
      <c r="CC66" s="46">
        <f t="shared" si="44"/>
        <v>0.50901803607214424</v>
      </c>
      <c r="CD66" s="46">
        <f t="shared" si="45"/>
        <v>0.70002647603918455</v>
      </c>
      <c r="CE66" s="47">
        <f t="shared" si="46"/>
        <v>0.33767418712674185</v>
      </c>
      <c r="CF66" s="46">
        <f t="shared" si="47"/>
        <v>5.4818633306091658E-2</v>
      </c>
      <c r="CG66" s="46">
        <f t="shared" si="48"/>
        <v>0.12651432716721073</v>
      </c>
      <c r="CH66" s="46">
        <f t="shared" si="49"/>
        <v>0.30506467480415378</v>
      </c>
      <c r="CI66" s="46">
        <f t="shared" si="50"/>
        <v>0.53375694996028589</v>
      </c>
      <c r="CJ66" s="47">
        <f t="shared" si="51"/>
        <v>0.20730341738553418</v>
      </c>
      <c r="CK66" s="46">
        <f t="shared" si="123"/>
        <v>0.19636009304079965</v>
      </c>
      <c r="CL66" s="46">
        <f t="shared" si="123"/>
        <v>0.38255350018135653</v>
      </c>
      <c r="CM66" s="46">
        <f t="shared" si="123"/>
        <v>0.57619785024594639</v>
      </c>
      <c r="CN66" s="46">
        <f t="shared" si="123"/>
        <v>0.72719751125231658</v>
      </c>
      <c r="CO66" s="47">
        <f t="shared" si="53"/>
        <v>0.41920516755142667</v>
      </c>
      <c r="CP66" s="48"/>
    </row>
    <row r="67" spans="1:94" ht="30.75" customHeight="1" x14ac:dyDescent="0.3">
      <c r="A67" s="49">
        <v>50</v>
      </c>
      <c r="B67" s="50" t="s">
        <v>108</v>
      </c>
      <c r="C67" s="50" t="s">
        <v>109</v>
      </c>
      <c r="D67" s="51">
        <v>45901</v>
      </c>
      <c r="E67" s="52">
        <v>355</v>
      </c>
      <c r="F67" s="52">
        <v>314</v>
      </c>
      <c r="G67" s="53">
        <f t="shared" si="1"/>
        <v>0.88450704225352117</v>
      </c>
      <c r="H67" s="52">
        <v>11308</v>
      </c>
      <c r="I67" s="52">
        <v>9868</v>
      </c>
      <c r="J67" s="52">
        <v>7832</v>
      </c>
      <c r="K67" s="52">
        <v>5742</v>
      </c>
      <c r="L67" s="54">
        <f t="shared" si="3"/>
        <v>34750</v>
      </c>
      <c r="M67" s="52">
        <v>10634</v>
      </c>
      <c r="N67" s="52">
        <v>9394</v>
      </c>
      <c r="O67" s="52">
        <v>7485</v>
      </c>
      <c r="P67" s="52">
        <v>5493</v>
      </c>
      <c r="Q67" s="54">
        <f t="shared" si="5"/>
        <v>33006</v>
      </c>
      <c r="R67" s="52">
        <v>555</v>
      </c>
      <c r="S67" s="52">
        <v>124</v>
      </c>
      <c r="T67" s="52">
        <v>9</v>
      </c>
      <c r="U67" s="52">
        <v>1</v>
      </c>
      <c r="V67" s="55">
        <f t="shared" si="7"/>
        <v>689</v>
      </c>
      <c r="W67" s="52" t="s">
        <v>110</v>
      </c>
      <c r="X67" s="52">
        <v>768</v>
      </c>
      <c r="Y67" s="52">
        <v>253</v>
      </c>
      <c r="Z67" s="52">
        <v>110</v>
      </c>
      <c r="AA67" s="55">
        <f t="shared" si="9"/>
        <v>1131</v>
      </c>
      <c r="AB67" s="52" t="s">
        <v>111</v>
      </c>
      <c r="AC67" s="52" t="s">
        <v>112</v>
      </c>
      <c r="AD67" s="52" t="s">
        <v>113</v>
      </c>
      <c r="AE67" s="52">
        <v>624</v>
      </c>
      <c r="AF67" s="55">
        <f t="shared" si="11"/>
        <v>624</v>
      </c>
      <c r="AG67" s="52" t="s">
        <v>114</v>
      </c>
      <c r="AH67" s="52" t="s">
        <v>115</v>
      </c>
      <c r="AI67" s="52" t="s">
        <v>116</v>
      </c>
      <c r="AJ67" s="52" t="s">
        <v>117</v>
      </c>
      <c r="AK67" s="55">
        <f t="shared" si="13"/>
        <v>0</v>
      </c>
      <c r="AL67" s="56">
        <f t="shared" si="14"/>
        <v>0.51307128079744213</v>
      </c>
      <c r="AM67" s="56">
        <f t="shared" si="15"/>
        <v>0.40877155631253992</v>
      </c>
      <c r="AN67" s="56">
        <f t="shared" si="16"/>
        <v>0.23994655978623913</v>
      </c>
      <c r="AO67" s="56">
        <f t="shared" si="17"/>
        <v>0.113599126160568</v>
      </c>
      <c r="AP67" s="57">
        <f t="shared" si="18"/>
        <v>1.8905653517542264E-2</v>
      </c>
      <c r="AQ67" s="56">
        <f t="shared" si="19"/>
        <v>0.1821515892420538</v>
      </c>
      <c r="AR67" s="56">
        <f t="shared" si="20"/>
        <v>0.49627421758569301</v>
      </c>
      <c r="AS67" s="56">
        <f t="shared" si="21"/>
        <v>0.72505010020040084</v>
      </c>
      <c r="AT67" s="56">
        <f t="shared" si="22"/>
        <v>0.86619333697433099</v>
      </c>
      <c r="AU67" s="57">
        <f t="shared" si="23"/>
        <v>0</v>
      </c>
      <c r="AV67" s="52">
        <v>4388</v>
      </c>
      <c r="AW67" s="52">
        <v>6487</v>
      </c>
      <c r="AX67" s="52">
        <v>6173</v>
      </c>
      <c r="AY67" s="52">
        <v>4787</v>
      </c>
      <c r="AZ67" s="58">
        <f t="shared" si="25"/>
        <v>21835</v>
      </c>
      <c r="BA67" s="52">
        <v>3267</v>
      </c>
      <c r="BB67" s="52">
        <v>4840</v>
      </c>
      <c r="BC67" s="52">
        <v>5482</v>
      </c>
      <c r="BD67" s="52">
        <v>4414</v>
      </c>
      <c r="BE67" s="59">
        <f t="shared" si="27"/>
        <v>18003</v>
      </c>
      <c r="BF67" s="52">
        <v>1083</v>
      </c>
      <c r="BG67" s="52">
        <v>2823</v>
      </c>
      <c r="BH67" s="52">
        <v>4030</v>
      </c>
      <c r="BI67" s="52">
        <v>3792</v>
      </c>
      <c r="BJ67" s="60">
        <f t="shared" si="29"/>
        <v>11728</v>
      </c>
      <c r="BK67" s="52">
        <v>657</v>
      </c>
      <c r="BL67" s="52">
        <v>1260</v>
      </c>
      <c r="BM67" s="52">
        <v>2578</v>
      </c>
      <c r="BN67" s="52">
        <v>3023</v>
      </c>
      <c r="BO67" s="55">
        <f t="shared" si="31"/>
        <v>7518</v>
      </c>
      <c r="BP67" s="61"/>
      <c r="BQ67" s="62">
        <f t="shared" si="32"/>
        <v>0.41263870603723907</v>
      </c>
      <c r="BR67" s="62">
        <f t="shared" si="33"/>
        <v>0.69054715776027253</v>
      </c>
      <c r="BS67" s="62">
        <f t="shared" si="34"/>
        <v>0.82471609886439545</v>
      </c>
      <c r="BT67" s="62">
        <f t="shared" si="35"/>
        <v>0.87147278354269064</v>
      </c>
      <c r="BU67" s="63">
        <f t="shared" si="36"/>
        <v>0.66154638550566569</v>
      </c>
      <c r="BV67" s="62">
        <f t="shared" si="37"/>
        <v>0.30722211773556518</v>
      </c>
      <c r="BW67" s="62">
        <f t="shared" si="38"/>
        <v>0.51522248243559721</v>
      </c>
      <c r="BX67" s="62">
        <f t="shared" si="39"/>
        <v>0.73239812959251838</v>
      </c>
      <c r="BY67" s="62">
        <f t="shared" si="40"/>
        <v>0.80356817768068456</v>
      </c>
      <c r="BZ67" s="64">
        <f t="shared" si="41"/>
        <v>0.54544628249409199</v>
      </c>
      <c r="CA67" s="62">
        <f t="shared" si="42"/>
        <v>0.10184314463043069</v>
      </c>
      <c r="CB67" s="62">
        <f t="shared" si="43"/>
        <v>0.30051096444539066</v>
      </c>
      <c r="CC67" s="62">
        <f t="shared" si="44"/>
        <v>0.53841015364061451</v>
      </c>
      <c r="CD67" s="62">
        <f t="shared" si="45"/>
        <v>0.69033315128345163</v>
      </c>
      <c r="CE67" s="65">
        <f t="shared" si="46"/>
        <v>0.35532933406047384</v>
      </c>
      <c r="CF67" s="62">
        <f t="shared" si="47"/>
        <v>6.1782960315967653E-2</v>
      </c>
      <c r="CG67" s="62">
        <f t="shared" si="48"/>
        <v>0.13412816691505217</v>
      </c>
      <c r="CH67" s="62">
        <f t="shared" si="49"/>
        <v>0.34442217768871075</v>
      </c>
      <c r="CI67" s="62">
        <f t="shared" si="50"/>
        <v>0.55033679228108501</v>
      </c>
      <c r="CJ67" s="66">
        <f t="shared" si="51"/>
        <v>0.22777676786038903</v>
      </c>
      <c r="CK67" s="62">
        <f t="shared" ref="CK67:CN74" si="169">IFERROR((BQ67+BV67+CA67+CF67)/4,"")</f>
        <v>0.22087173217980063</v>
      </c>
      <c r="CL67" s="62">
        <f t="shared" si="169"/>
        <v>0.41010219288907818</v>
      </c>
      <c r="CM67" s="62">
        <f t="shared" si="169"/>
        <v>0.60998663994655966</v>
      </c>
      <c r="CN67" s="62">
        <f t="shared" si="169"/>
        <v>0.72892772619697799</v>
      </c>
      <c r="CO67" s="67">
        <f t="shared" si="53"/>
        <v>0.44752469248015514</v>
      </c>
      <c r="CP67" s="48"/>
    </row>
    <row r="68" spans="1:94" ht="30.75" customHeight="1" x14ac:dyDescent="0.3">
      <c r="A68" s="49">
        <v>51</v>
      </c>
      <c r="B68" s="50" t="s">
        <v>108</v>
      </c>
      <c r="C68" s="50" t="s">
        <v>118</v>
      </c>
      <c r="D68" s="51">
        <v>45901</v>
      </c>
      <c r="E68" s="52">
        <v>282</v>
      </c>
      <c r="F68" s="52">
        <v>201</v>
      </c>
      <c r="G68" s="53">
        <f t="shared" si="1"/>
        <v>0.71276595744680848</v>
      </c>
      <c r="H68" s="52">
        <v>5373</v>
      </c>
      <c r="I68" s="52">
        <v>4986</v>
      </c>
      <c r="J68" s="52">
        <v>3540</v>
      </c>
      <c r="K68" s="52">
        <v>2233</v>
      </c>
      <c r="L68" s="54">
        <f t="shared" si="3"/>
        <v>16132</v>
      </c>
      <c r="M68" s="52">
        <v>5273</v>
      </c>
      <c r="N68" s="52">
        <v>4391</v>
      </c>
      <c r="O68" s="52">
        <v>3493</v>
      </c>
      <c r="P68" s="52">
        <v>2061</v>
      </c>
      <c r="Q68" s="54">
        <f t="shared" si="5"/>
        <v>15218</v>
      </c>
      <c r="R68" s="52">
        <v>600</v>
      </c>
      <c r="S68" s="52">
        <v>114</v>
      </c>
      <c r="T68" s="52">
        <v>13</v>
      </c>
      <c r="U68" s="52">
        <v>2</v>
      </c>
      <c r="V68" s="55">
        <f t="shared" si="7"/>
        <v>729</v>
      </c>
      <c r="W68" s="52" t="s">
        <v>119</v>
      </c>
      <c r="X68" s="52">
        <v>771</v>
      </c>
      <c r="Y68" s="52">
        <v>170</v>
      </c>
      <c r="Z68" s="52">
        <v>3</v>
      </c>
      <c r="AA68" s="55">
        <f t="shared" si="9"/>
        <v>944</v>
      </c>
      <c r="AB68" s="52" t="s">
        <v>120</v>
      </c>
      <c r="AC68" s="52" t="s">
        <v>121</v>
      </c>
      <c r="AD68" s="52">
        <v>992</v>
      </c>
      <c r="AE68" s="52">
        <v>225</v>
      </c>
      <c r="AF68" s="55">
        <f t="shared" si="11"/>
        <v>1217</v>
      </c>
      <c r="AG68" s="52">
        <v>682</v>
      </c>
      <c r="AH68" s="52" t="s">
        <v>122</v>
      </c>
      <c r="AI68" s="52" t="s">
        <v>123</v>
      </c>
      <c r="AJ68" s="52" t="s">
        <v>124</v>
      </c>
      <c r="AK68" s="55">
        <f t="shared" si="13"/>
        <v>682</v>
      </c>
      <c r="AL68" s="56">
        <f t="shared" si="14"/>
        <v>0.41209937417030151</v>
      </c>
      <c r="AM68" s="56">
        <f t="shared" si="15"/>
        <v>0.48417217034844001</v>
      </c>
      <c r="AN68" s="56">
        <f t="shared" si="16"/>
        <v>0.28399656455768679</v>
      </c>
      <c r="AO68" s="56">
        <f t="shared" si="17"/>
        <v>0.1091703056768559</v>
      </c>
      <c r="AP68" s="57">
        <f t="shared" si="18"/>
        <v>7.9971086870810879E-2</v>
      </c>
      <c r="AQ68" s="56">
        <f t="shared" si="19"/>
        <v>0.12933813768253366</v>
      </c>
      <c r="AR68" s="56">
        <f t="shared" si="20"/>
        <v>0.43179230243680256</v>
      </c>
      <c r="AS68" s="56">
        <f t="shared" si="21"/>
        <v>0.65788720297738335</v>
      </c>
      <c r="AT68" s="56">
        <f t="shared" si="22"/>
        <v>0.88258127122755947</v>
      </c>
      <c r="AU68" s="57">
        <f t="shared" si="23"/>
        <v>4.4815350243133129E-2</v>
      </c>
      <c r="AV68" s="52">
        <v>1355</v>
      </c>
      <c r="AW68" s="52">
        <v>2430</v>
      </c>
      <c r="AX68" s="52">
        <v>2627</v>
      </c>
      <c r="AY68" s="52">
        <v>1794</v>
      </c>
      <c r="AZ68" s="58">
        <f t="shared" si="25"/>
        <v>8206</v>
      </c>
      <c r="BA68" s="52">
        <v>1034</v>
      </c>
      <c r="BB68" s="52">
        <v>1763</v>
      </c>
      <c r="BC68" s="52">
        <v>2083</v>
      </c>
      <c r="BD68" s="52">
        <v>1658</v>
      </c>
      <c r="BE68" s="59">
        <f t="shared" si="27"/>
        <v>6538</v>
      </c>
      <c r="BF68" s="52">
        <v>495</v>
      </c>
      <c r="BG68" s="52">
        <v>1007</v>
      </c>
      <c r="BH68" s="52">
        <v>1558</v>
      </c>
      <c r="BI68" s="52">
        <v>1496</v>
      </c>
      <c r="BJ68" s="60">
        <f t="shared" si="29"/>
        <v>4556</v>
      </c>
      <c r="BK68" s="52">
        <v>215</v>
      </c>
      <c r="BL68" s="52">
        <v>484</v>
      </c>
      <c r="BM68" s="52">
        <v>771</v>
      </c>
      <c r="BN68" s="52">
        <v>1009</v>
      </c>
      <c r="BO68" s="55">
        <f t="shared" si="31"/>
        <v>2479</v>
      </c>
      <c r="BP68" s="61"/>
      <c r="BQ68" s="62">
        <f t="shared" si="32"/>
        <v>0.25696946709652951</v>
      </c>
      <c r="BR68" s="62">
        <f t="shared" si="33"/>
        <v>0.55340469141425641</v>
      </c>
      <c r="BS68" s="62">
        <f t="shared" si="34"/>
        <v>0.75207557973089034</v>
      </c>
      <c r="BT68" s="62">
        <f t="shared" si="35"/>
        <v>0.87045123726346429</v>
      </c>
      <c r="BU68" s="63">
        <f t="shared" si="36"/>
        <v>0.53922985937705348</v>
      </c>
      <c r="BV68" s="62">
        <f t="shared" si="37"/>
        <v>0.19609330551868007</v>
      </c>
      <c r="BW68" s="62">
        <f t="shared" si="38"/>
        <v>0.40150307447050787</v>
      </c>
      <c r="BX68" s="62">
        <f t="shared" si="39"/>
        <v>0.59633552819925562</v>
      </c>
      <c r="BY68" s="62">
        <f t="shared" si="40"/>
        <v>0.80446385249878705</v>
      </c>
      <c r="BZ68" s="64">
        <f t="shared" si="41"/>
        <v>0.42962281508739653</v>
      </c>
      <c r="CA68" s="62">
        <f t="shared" si="42"/>
        <v>9.3874454769580881E-2</v>
      </c>
      <c r="CB68" s="62">
        <f t="shared" si="43"/>
        <v>0.22933272603051696</v>
      </c>
      <c r="CC68" s="62">
        <f t="shared" si="44"/>
        <v>0.44603492699685082</v>
      </c>
      <c r="CD68" s="62">
        <f t="shared" si="45"/>
        <v>0.72586123241145073</v>
      </c>
      <c r="CE68" s="65">
        <f t="shared" si="46"/>
        <v>0.29938231042186886</v>
      </c>
      <c r="CF68" s="62">
        <f t="shared" si="47"/>
        <v>4.0773753081737155E-2</v>
      </c>
      <c r="CG68" s="62">
        <f t="shared" si="48"/>
        <v>0.11022546117057617</v>
      </c>
      <c r="CH68" s="62">
        <f t="shared" si="49"/>
        <v>0.22072716862296021</v>
      </c>
      <c r="CI68" s="62">
        <f t="shared" si="50"/>
        <v>0.48956817079087822</v>
      </c>
      <c r="CJ68" s="66">
        <f t="shared" si="51"/>
        <v>0.16289919831778157</v>
      </c>
      <c r="CK68" s="62">
        <f t="shared" si="169"/>
        <v>0.1469277451166319</v>
      </c>
      <c r="CL68" s="62">
        <f t="shared" si="169"/>
        <v>0.32361648827146433</v>
      </c>
      <c r="CM68" s="62">
        <f t="shared" si="169"/>
        <v>0.5037933008874893</v>
      </c>
      <c r="CN68" s="62">
        <f t="shared" si="169"/>
        <v>0.72258612324114502</v>
      </c>
      <c r="CO68" s="67">
        <f t="shared" si="53"/>
        <v>0.35778354580102512</v>
      </c>
      <c r="CP68" s="48"/>
    </row>
    <row r="69" spans="1:94" ht="30.75" customHeight="1" x14ac:dyDescent="0.3">
      <c r="A69" s="36" t="s">
        <v>125</v>
      </c>
      <c r="B69" s="37"/>
      <c r="C69" s="38"/>
      <c r="D69" s="39"/>
      <c r="E69" s="40">
        <f t="shared" ref="E69:F69" si="170">SUM(E70:E73)</f>
        <v>1095</v>
      </c>
      <c r="F69" s="40">
        <f t="shared" si="170"/>
        <v>590</v>
      </c>
      <c r="G69" s="41">
        <f t="shared" si="1"/>
        <v>0.53881278538812782</v>
      </c>
      <c r="H69" s="40">
        <f t="shared" ref="H69:K69" si="171">SUM(H70:H73)</f>
        <v>26232</v>
      </c>
      <c r="I69" s="40">
        <f t="shared" si="171"/>
        <v>23730</v>
      </c>
      <c r="J69" s="40">
        <f t="shared" si="171"/>
        <v>17916</v>
      </c>
      <c r="K69" s="40">
        <f t="shared" si="171"/>
        <v>12344</v>
      </c>
      <c r="L69" s="42">
        <f t="shared" si="3"/>
        <v>80222</v>
      </c>
      <c r="M69" s="40">
        <f t="shared" ref="M69:P69" si="172">SUM(M70:M73)</f>
        <v>17260</v>
      </c>
      <c r="N69" s="40">
        <f t="shared" si="172"/>
        <v>15945</v>
      </c>
      <c r="O69" s="40">
        <f t="shared" si="172"/>
        <v>12544</v>
      </c>
      <c r="P69" s="40">
        <f t="shared" si="172"/>
        <v>8990</v>
      </c>
      <c r="Q69" s="42">
        <f t="shared" si="5"/>
        <v>54739</v>
      </c>
      <c r="R69" s="40">
        <f t="shared" ref="R69:U69" si="173">SUM(R70:R73)</f>
        <v>1285</v>
      </c>
      <c r="S69" s="40">
        <f t="shared" si="173"/>
        <v>361</v>
      </c>
      <c r="T69" s="40">
        <f t="shared" si="173"/>
        <v>39</v>
      </c>
      <c r="U69" s="40">
        <f t="shared" si="173"/>
        <v>7</v>
      </c>
      <c r="V69" s="43">
        <f t="shared" si="7"/>
        <v>1692</v>
      </c>
      <c r="W69" s="40">
        <f t="shared" ref="W69:Z69" si="174">SUM(W70:W73)</f>
        <v>4180</v>
      </c>
      <c r="X69" s="40">
        <f t="shared" si="174"/>
        <v>1435</v>
      </c>
      <c r="Y69" s="40">
        <f t="shared" si="174"/>
        <v>328</v>
      </c>
      <c r="Z69" s="40">
        <f t="shared" si="174"/>
        <v>56</v>
      </c>
      <c r="AA69" s="43">
        <f t="shared" si="9"/>
        <v>5999</v>
      </c>
      <c r="AB69" s="40">
        <f t="shared" ref="AB69:AE69" si="175">SUM(AB70:AB73)</f>
        <v>7005</v>
      </c>
      <c r="AC69" s="40">
        <f t="shared" si="175"/>
        <v>5464</v>
      </c>
      <c r="AD69" s="40">
        <f t="shared" si="175"/>
        <v>2451</v>
      </c>
      <c r="AE69" s="40">
        <f t="shared" si="175"/>
        <v>735</v>
      </c>
      <c r="AF69" s="43">
        <f t="shared" si="11"/>
        <v>15655</v>
      </c>
      <c r="AG69" s="40">
        <f t="shared" ref="AG69:AJ69" si="176">SUM(AG70:AG73)</f>
        <v>4790</v>
      </c>
      <c r="AH69" s="40">
        <f t="shared" si="176"/>
        <v>8685</v>
      </c>
      <c r="AI69" s="40">
        <f t="shared" si="176"/>
        <v>9726</v>
      </c>
      <c r="AJ69" s="40">
        <f t="shared" si="176"/>
        <v>8192</v>
      </c>
      <c r="AK69" s="43">
        <f t="shared" si="13"/>
        <v>31393</v>
      </c>
      <c r="AL69" s="44">
        <f t="shared" si="14"/>
        <v>0.40585168018539974</v>
      </c>
      <c r="AM69" s="44">
        <f t="shared" si="15"/>
        <v>0.3426779554719348</v>
      </c>
      <c r="AN69" s="44">
        <f t="shared" si="16"/>
        <v>0.19539221938775511</v>
      </c>
      <c r="AO69" s="44">
        <f t="shared" si="17"/>
        <v>8.1757508342602897E-2</v>
      </c>
      <c r="AP69" s="44">
        <f t="shared" si="18"/>
        <v>0.28599353294725882</v>
      </c>
      <c r="AQ69" s="44">
        <f t="shared" si="19"/>
        <v>0.27752027809965235</v>
      </c>
      <c r="AR69" s="44">
        <f t="shared" si="20"/>
        <v>0.54468485418626533</v>
      </c>
      <c r="AS69" s="44">
        <f t="shared" si="21"/>
        <v>0.77535076530612246</v>
      </c>
      <c r="AT69" s="44">
        <f t="shared" si="22"/>
        <v>0.91123470522803118</v>
      </c>
      <c r="AU69" s="44">
        <f t="shared" si="23"/>
        <v>0.57350335227168925</v>
      </c>
      <c r="AV69" s="40">
        <f t="shared" ref="AV69:AY69" si="177">SUM(AV70:AV73)</f>
        <v>6195</v>
      </c>
      <c r="AW69" s="40">
        <f t="shared" si="177"/>
        <v>9559</v>
      </c>
      <c r="AX69" s="40">
        <f t="shared" si="177"/>
        <v>9745</v>
      </c>
      <c r="AY69" s="40">
        <f t="shared" si="177"/>
        <v>7918</v>
      </c>
      <c r="AZ69" s="43">
        <f t="shared" si="25"/>
        <v>33417</v>
      </c>
      <c r="BA69" s="40">
        <f t="shared" ref="BA69:BD69" si="178">SUM(BA70:BA73)</f>
        <v>5156</v>
      </c>
      <c r="BB69" s="40">
        <f t="shared" si="178"/>
        <v>7461.7</v>
      </c>
      <c r="BC69" s="40">
        <f t="shared" si="178"/>
        <v>7706.8</v>
      </c>
      <c r="BD69" s="40">
        <f t="shared" si="178"/>
        <v>7074</v>
      </c>
      <c r="BE69" s="43">
        <f t="shared" si="27"/>
        <v>27398.5</v>
      </c>
      <c r="BF69" s="40">
        <f t="shared" ref="BF69:BI69" si="179">SUM(BF70:BF73)</f>
        <v>3282</v>
      </c>
      <c r="BG69" s="40">
        <f t="shared" si="179"/>
        <v>5326</v>
      </c>
      <c r="BH69" s="40">
        <f t="shared" si="179"/>
        <v>6552</v>
      </c>
      <c r="BI69" s="40">
        <f t="shared" si="179"/>
        <v>6552</v>
      </c>
      <c r="BJ69" s="43">
        <f t="shared" si="29"/>
        <v>21712</v>
      </c>
      <c r="BK69" s="40">
        <f t="shared" ref="BK69:BN69" si="180">SUM(BK70:BK73)</f>
        <v>1962</v>
      </c>
      <c r="BL69" s="40">
        <f t="shared" si="180"/>
        <v>3185.8</v>
      </c>
      <c r="BM69" s="40">
        <f t="shared" si="180"/>
        <v>3787</v>
      </c>
      <c r="BN69" s="40">
        <f t="shared" si="180"/>
        <v>4601</v>
      </c>
      <c r="BO69" s="43">
        <f t="shared" si="31"/>
        <v>13535.8</v>
      </c>
      <c r="BP69" s="45"/>
      <c r="BQ69" s="46">
        <f t="shared" si="32"/>
        <v>0.35892236384704518</v>
      </c>
      <c r="BR69" s="46">
        <f t="shared" si="33"/>
        <v>0.59949827532141742</v>
      </c>
      <c r="BS69" s="46">
        <f t="shared" si="34"/>
        <v>0.77686543367346939</v>
      </c>
      <c r="BT69" s="46">
        <f t="shared" si="35"/>
        <v>0.88075639599555067</v>
      </c>
      <c r="BU69" s="47">
        <f t="shared" si="36"/>
        <v>0.61047881766199596</v>
      </c>
      <c r="BV69" s="46">
        <f t="shared" si="37"/>
        <v>0.29872537659327925</v>
      </c>
      <c r="BW69" s="46">
        <f t="shared" si="38"/>
        <v>0.46796487927249919</v>
      </c>
      <c r="BX69" s="46">
        <f t="shared" si="39"/>
        <v>0.6143813775510204</v>
      </c>
      <c r="BY69" s="46">
        <f t="shared" si="40"/>
        <v>0.78687430478309228</v>
      </c>
      <c r="BZ69" s="47">
        <f t="shared" si="41"/>
        <v>0.50052978680648164</v>
      </c>
      <c r="CA69" s="46">
        <f t="shared" si="42"/>
        <v>0.19015063731170337</v>
      </c>
      <c r="CB69" s="46">
        <f t="shared" si="43"/>
        <v>0.33402320476638447</v>
      </c>
      <c r="CC69" s="46">
        <f t="shared" si="44"/>
        <v>0.5223214285714286</v>
      </c>
      <c r="CD69" s="46">
        <f t="shared" si="45"/>
        <v>0.7288097886540601</v>
      </c>
      <c r="CE69" s="47">
        <f t="shared" si="46"/>
        <v>0.396645901459654</v>
      </c>
      <c r="CF69" s="46">
        <f t="shared" si="47"/>
        <v>0.11367323290845886</v>
      </c>
      <c r="CG69" s="46">
        <f t="shared" si="48"/>
        <v>0.19979931012856697</v>
      </c>
      <c r="CH69" s="46">
        <f t="shared" si="49"/>
        <v>0.30189732142857145</v>
      </c>
      <c r="CI69" s="46">
        <f t="shared" si="50"/>
        <v>0.51179087875417129</v>
      </c>
      <c r="CJ69" s="47">
        <f t="shared" si="51"/>
        <v>0.24727890535084673</v>
      </c>
      <c r="CK69" s="46">
        <f t="shared" si="169"/>
        <v>0.24036790266512167</v>
      </c>
      <c r="CL69" s="46">
        <f t="shared" si="169"/>
        <v>0.40032141737221699</v>
      </c>
      <c r="CM69" s="46">
        <f t="shared" si="169"/>
        <v>0.5538663903061225</v>
      </c>
      <c r="CN69" s="46">
        <f t="shared" si="169"/>
        <v>0.72705784204671864</v>
      </c>
      <c r="CO69" s="47">
        <f t="shared" si="53"/>
        <v>0.43873335281974457</v>
      </c>
      <c r="CP69" s="48"/>
    </row>
    <row r="70" spans="1:94" ht="30.75" customHeight="1" x14ac:dyDescent="0.3">
      <c r="A70" s="49">
        <v>52</v>
      </c>
      <c r="B70" s="50" t="s">
        <v>126</v>
      </c>
      <c r="C70" s="50" t="s">
        <v>127</v>
      </c>
      <c r="D70" s="51">
        <v>45901</v>
      </c>
      <c r="E70" s="52">
        <v>345</v>
      </c>
      <c r="F70" s="52">
        <v>341</v>
      </c>
      <c r="G70" s="53">
        <f t="shared" si="1"/>
        <v>0.98840579710144927</v>
      </c>
      <c r="H70" s="52">
        <v>11417</v>
      </c>
      <c r="I70" s="52">
        <v>10607</v>
      </c>
      <c r="J70" s="52">
        <v>8182</v>
      </c>
      <c r="K70" s="52">
        <v>5662</v>
      </c>
      <c r="L70" s="54">
        <f t="shared" si="3"/>
        <v>35868</v>
      </c>
      <c r="M70" s="52">
        <v>10371</v>
      </c>
      <c r="N70" s="52">
        <v>9852</v>
      </c>
      <c r="O70" s="52">
        <v>7723</v>
      </c>
      <c r="P70" s="52">
        <v>5427</v>
      </c>
      <c r="Q70" s="54">
        <f t="shared" si="5"/>
        <v>33373</v>
      </c>
      <c r="R70" s="52">
        <v>669</v>
      </c>
      <c r="S70" s="52">
        <v>226</v>
      </c>
      <c r="T70" s="52">
        <v>17</v>
      </c>
      <c r="U70" s="52">
        <v>6</v>
      </c>
      <c r="V70" s="55">
        <f t="shared" si="7"/>
        <v>918</v>
      </c>
      <c r="W70" s="52">
        <v>2148</v>
      </c>
      <c r="X70" s="52">
        <v>817</v>
      </c>
      <c r="Y70" s="52">
        <v>153</v>
      </c>
      <c r="Z70" s="52">
        <v>32</v>
      </c>
      <c r="AA70" s="55">
        <f t="shared" si="9"/>
        <v>3150</v>
      </c>
      <c r="AB70" s="52">
        <v>4100</v>
      </c>
      <c r="AC70" s="52">
        <v>3098</v>
      </c>
      <c r="AD70" s="52">
        <v>1290</v>
      </c>
      <c r="AE70" s="52">
        <v>326</v>
      </c>
      <c r="AF70" s="55">
        <f t="shared" si="11"/>
        <v>8814</v>
      </c>
      <c r="AG70" s="52">
        <v>3454</v>
      </c>
      <c r="AH70" s="52">
        <v>5711</v>
      </c>
      <c r="AI70" s="52">
        <v>6263</v>
      </c>
      <c r="AJ70" s="52">
        <v>5063</v>
      </c>
      <c r="AK70" s="55">
        <f t="shared" si="13"/>
        <v>20491</v>
      </c>
      <c r="AL70" s="56">
        <f t="shared" si="14"/>
        <v>0.39533314048789897</v>
      </c>
      <c r="AM70" s="56">
        <f t="shared" si="15"/>
        <v>0.31445391798619571</v>
      </c>
      <c r="AN70" s="56">
        <f t="shared" si="16"/>
        <v>0.16703353619059952</v>
      </c>
      <c r="AO70" s="56">
        <f t="shared" si="17"/>
        <v>6.0070020269025241E-2</v>
      </c>
      <c r="AP70" s="57">
        <f t="shared" si="18"/>
        <v>0.26410571420010187</v>
      </c>
      <c r="AQ70" s="56">
        <f t="shared" si="19"/>
        <v>0.33304406518175683</v>
      </c>
      <c r="AR70" s="56">
        <f t="shared" si="20"/>
        <v>0.5796792529435647</v>
      </c>
      <c r="AS70" s="56">
        <f t="shared" si="21"/>
        <v>0.81095429237342997</v>
      </c>
      <c r="AT70" s="56">
        <f t="shared" si="22"/>
        <v>0.93292795282845031</v>
      </c>
      <c r="AU70" s="57">
        <f t="shared" si="23"/>
        <v>0.6139993407844665</v>
      </c>
      <c r="AV70" s="52">
        <v>4441</v>
      </c>
      <c r="AW70" s="52">
        <v>6214</v>
      </c>
      <c r="AX70" s="52">
        <v>6074</v>
      </c>
      <c r="AY70" s="52">
        <v>4856</v>
      </c>
      <c r="AZ70" s="58">
        <f t="shared" si="25"/>
        <v>21585</v>
      </c>
      <c r="BA70" s="52">
        <v>3700</v>
      </c>
      <c r="BB70" s="52">
        <v>5160.7</v>
      </c>
      <c r="BC70" s="52">
        <v>5083.8</v>
      </c>
      <c r="BD70" s="52">
        <v>4433</v>
      </c>
      <c r="BE70" s="59">
        <f t="shared" si="27"/>
        <v>18377.5</v>
      </c>
      <c r="BF70" s="52">
        <v>2382</v>
      </c>
      <c r="BG70" s="52">
        <v>3819</v>
      </c>
      <c r="BH70" s="52">
        <v>4286</v>
      </c>
      <c r="BI70" s="52">
        <v>4004</v>
      </c>
      <c r="BJ70" s="60">
        <f t="shared" si="29"/>
        <v>14491</v>
      </c>
      <c r="BK70" s="52">
        <v>1465</v>
      </c>
      <c r="BL70" s="52">
        <v>2445.8000000000002</v>
      </c>
      <c r="BM70" s="52">
        <v>2693</v>
      </c>
      <c r="BN70" s="52">
        <v>2938</v>
      </c>
      <c r="BO70" s="55">
        <f t="shared" si="31"/>
        <v>9541.7999999999993</v>
      </c>
      <c r="BP70" s="61"/>
      <c r="BQ70" s="62">
        <f t="shared" si="32"/>
        <v>0.4282132870504291</v>
      </c>
      <c r="BR70" s="62">
        <f t="shared" si="33"/>
        <v>0.63073487616727564</v>
      </c>
      <c r="BS70" s="62">
        <f t="shared" si="34"/>
        <v>0.78648193707108638</v>
      </c>
      <c r="BT70" s="62">
        <f t="shared" si="35"/>
        <v>0.8947853325962779</v>
      </c>
      <c r="BU70" s="63">
        <f t="shared" si="36"/>
        <v>0.6467803314056273</v>
      </c>
      <c r="BV70" s="62">
        <f t="shared" si="37"/>
        <v>0.35676405361103075</v>
      </c>
      <c r="BW70" s="62">
        <f t="shared" si="38"/>
        <v>0.52382257409663013</v>
      </c>
      <c r="BX70" s="62">
        <f t="shared" si="39"/>
        <v>0.65826751262462779</v>
      </c>
      <c r="BY70" s="62">
        <f t="shared" si="40"/>
        <v>0.81684171733922972</v>
      </c>
      <c r="BZ70" s="64">
        <f t="shared" si="41"/>
        <v>0.55066970305336649</v>
      </c>
      <c r="CA70" s="62">
        <f t="shared" si="42"/>
        <v>0.22967891235175006</v>
      </c>
      <c r="CB70" s="62">
        <f t="shared" si="43"/>
        <v>0.3876370280146163</v>
      </c>
      <c r="CC70" s="62">
        <f t="shared" si="44"/>
        <v>0.5549656869092322</v>
      </c>
      <c r="CD70" s="62">
        <f t="shared" si="45"/>
        <v>0.73779251888704622</v>
      </c>
      <c r="CE70" s="65">
        <f t="shared" si="46"/>
        <v>0.43421328618943456</v>
      </c>
      <c r="CF70" s="62">
        <f t="shared" si="47"/>
        <v>0.14125928068652974</v>
      </c>
      <c r="CG70" s="62">
        <f t="shared" si="48"/>
        <v>0.24825416159155503</v>
      </c>
      <c r="CH70" s="62">
        <f t="shared" si="49"/>
        <v>0.34869869221805</v>
      </c>
      <c r="CI70" s="62">
        <f t="shared" si="50"/>
        <v>0.5413672378846508</v>
      </c>
      <c r="CJ70" s="66">
        <f t="shared" si="51"/>
        <v>0.28591376262247925</v>
      </c>
      <c r="CK70" s="62">
        <f t="shared" si="169"/>
        <v>0.28897888342493494</v>
      </c>
      <c r="CL70" s="62">
        <f t="shared" si="169"/>
        <v>0.44761215996751924</v>
      </c>
      <c r="CM70" s="62">
        <f t="shared" si="169"/>
        <v>0.58710345720574919</v>
      </c>
      <c r="CN70" s="62">
        <f t="shared" si="169"/>
        <v>0.74769670167680125</v>
      </c>
      <c r="CO70" s="67">
        <f t="shared" si="53"/>
        <v>0.4793942708177269</v>
      </c>
      <c r="CP70" s="48"/>
    </row>
    <row r="71" spans="1:94" ht="30.75" customHeight="1" x14ac:dyDescent="0.3">
      <c r="A71" s="49">
        <v>53</v>
      </c>
      <c r="B71" s="50" t="s">
        <v>126</v>
      </c>
      <c r="C71" s="50" t="s">
        <v>128</v>
      </c>
      <c r="D71" s="51">
        <v>45901</v>
      </c>
      <c r="E71" s="52">
        <v>338</v>
      </c>
      <c r="F71" s="52">
        <v>104</v>
      </c>
      <c r="G71" s="53">
        <f t="shared" si="1"/>
        <v>0.30769230769230771</v>
      </c>
      <c r="H71" s="52">
        <v>5739</v>
      </c>
      <c r="I71" s="52">
        <v>5471</v>
      </c>
      <c r="J71" s="52">
        <v>4636</v>
      </c>
      <c r="K71" s="52">
        <v>3466</v>
      </c>
      <c r="L71" s="54">
        <f t="shared" si="3"/>
        <v>19312</v>
      </c>
      <c r="M71" s="52">
        <v>2601</v>
      </c>
      <c r="N71" s="52">
        <v>2544</v>
      </c>
      <c r="O71" s="52">
        <v>2261</v>
      </c>
      <c r="P71" s="52">
        <v>1715</v>
      </c>
      <c r="Q71" s="54">
        <f t="shared" si="5"/>
        <v>9121</v>
      </c>
      <c r="R71" s="52">
        <v>259</v>
      </c>
      <c r="S71" s="52">
        <v>47</v>
      </c>
      <c r="T71" s="52">
        <v>16</v>
      </c>
      <c r="U71" s="52">
        <v>1</v>
      </c>
      <c r="V71" s="55">
        <f t="shared" si="7"/>
        <v>323</v>
      </c>
      <c r="W71" s="52">
        <v>935</v>
      </c>
      <c r="X71" s="52">
        <v>360</v>
      </c>
      <c r="Y71" s="52">
        <v>126</v>
      </c>
      <c r="Z71" s="52">
        <v>12</v>
      </c>
      <c r="AA71" s="55">
        <f t="shared" si="9"/>
        <v>1433</v>
      </c>
      <c r="AB71" s="52">
        <v>1137</v>
      </c>
      <c r="AC71" s="52">
        <v>1160</v>
      </c>
      <c r="AD71" s="52">
        <v>711</v>
      </c>
      <c r="AE71" s="52">
        <v>253</v>
      </c>
      <c r="AF71" s="55">
        <f t="shared" si="11"/>
        <v>3261</v>
      </c>
      <c r="AG71" s="52">
        <v>270</v>
      </c>
      <c r="AH71" s="52">
        <v>977</v>
      </c>
      <c r="AI71" s="52">
        <v>1408</v>
      </c>
      <c r="AJ71" s="52">
        <v>1449</v>
      </c>
      <c r="AK71" s="55">
        <f t="shared" si="13"/>
        <v>4104</v>
      </c>
      <c r="AL71" s="56">
        <f t="shared" si="14"/>
        <v>0.43713956170703577</v>
      </c>
      <c r="AM71" s="56">
        <f t="shared" si="15"/>
        <v>0.45597484276729561</v>
      </c>
      <c r="AN71" s="56">
        <f t="shared" si="16"/>
        <v>0.31446262715612561</v>
      </c>
      <c r="AO71" s="56">
        <f t="shared" si="17"/>
        <v>0.14752186588921282</v>
      </c>
      <c r="AP71" s="57">
        <f t="shared" si="18"/>
        <v>0.35752658699703982</v>
      </c>
      <c r="AQ71" s="56">
        <f t="shared" si="19"/>
        <v>0.10380622837370242</v>
      </c>
      <c r="AR71" s="56">
        <f t="shared" si="20"/>
        <v>0.38404088050314467</v>
      </c>
      <c r="AS71" s="56">
        <f t="shared" si="21"/>
        <v>0.62273330384785497</v>
      </c>
      <c r="AT71" s="56">
        <f t="shared" si="22"/>
        <v>0.8448979591836735</v>
      </c>
      <c r="AU71" s="57">
        <f t="shared" si="23"/>
        <v>0.44995066330446221</v>
      </c>
      <c r="AV71" s="52">
        <v>522</v>
      </c>
      <c r="AW71" s="52">
        <v>1312</v>
      </c>
      <c r="AX71" s="52">
        <v>1632</v>
      </c>
      <c r="AY71" s="52">
        <v>1401</v>
      </c>
      <c r="AZ71" s="58">
        <f t="shared" si="25"/>
        <v>4867</v>
      </c>
      <c r="BA71" s="52">
        <v>403</v>
      </c>
      <c r="BB71" s="52">
        <v>820</v>
      </c>
      <c r="BC71" s="52">
        <v>1172</v>
      </c>
      <c r="BD71" s="52">
        <v>1235</v>
      </c>
      <c r="BE71" s="59">
        <f t="shared" si="27"/>
        <v>3630</v>
      </c>
      <c r="BF71" s="52">
        <v>245</v>
      </c>
      <c r="BG71" s="52">
        <v>462</v>
      </c>
      <c r="BH71" s="52">
        <v>934</v>
      </c>
      <c r="BI71" s="52">
        <v>1164</v>
      </c>
      <c r="BJ71" s="60">
        <f t="shared" si="29"/>
        <v>2805</v>
      </c>
      <c r="BK71" s="52">
        <v>121</v>
      </c>
      <c r="BL71" s="52">
        <v>220</v>
      </c>
      <c r="BM71" s="52">
        <v>403</v>
      </c>
      <c r="BN71" s="52">
        <v>684</v>
      </c>
      <c r="BO71" s="55">
        <f t="shared" si="31"/>
        <v>1428</v>
      </c>
      <c r="BP71" s="61"/>
      <c r="BQ71" s="62">
        <f t="shared" si="32"/>
        <v>0.20069204152249134</v>
      </c>
      <c r="BR71" s="62">
        <f t="shared" si="33"/>
        <v>0.51572327044025157</v>
      </c>
      <c r="BS71" s="62">
        <f t="shared" si="34"/>
        <v>0.72180451127819545</v>
      </c>
      <c r="BT71" s="62">
        <f t="shared" si="35"/>
        <v>0.81690962099125364</v>
      </c>
      <c r="BU71" s="63">
        <f t="shared" si="36"/>
        <v>0.53360377151628113</v>
      </c>
      <c r="BV71" s="62">
        <f t="shared" si="37"/>
        <v>0.15494040753556323</v>
      </c>
      <c r="BW71" s="62">
        <f t="shared" si="38"/>
        <v>0.32232704402515722</v>
      </c>
      <c r="BX71" s="62">
        <f t="shared" si="39"/>
        <v>0.51835471030517466</v>
      </c>
      <c r="BY71" s="62">
        <f t="shared" si="40"/>
        <v>0.72011661807580174</v>
      </c>
      <c r="BZ71" s="64">
        <f t="shared" si="41"/>
        <v>0.39798267733801118</v>
      </c>
      <c r="CA71" s="62">
        <f t="shared" si="42"/>
        <v>9.4194540561322565E-2</v>
      </c>
      <c r="CB71" s="62">
        <f t="shared" si="43"/>
        <v>0.18160377358490565</v>
      </c>
      <c r="CC71" s="62">
        <f t="shared" si="44"/>
        <v>0.41309155241043788</v>
      </c>
      <c r="CD71" s="62">
        <f t="shared" si="45"/>
        <v>0.67871720116618073</v>
      </c>
      <c r="CE71" s="65">
        <f t="shared" si="46"/>
        <v>0.30753206885209955</v>
      </c>
      <c r="CF71" s="62">
        <f t="shared" si="47"/>
        <v>4.6520569011918492E-2</v>
      </c>
      <c r="CG71" s="62">
        <f t="shared" si="48"/>
        <v>8.6477987421383642E-2</v>
      </c>
      <c r="CH71" s="62">
        <f t="shared" si="49"/>
        <v>0.17823971693940735</v>
      </c>
      <c r="CI71" s="62">
        <f t="shared" si="50"/>
        <v>0.39883381924198252</v>
      </c>
      <c r="CJ71" s="66">
        <f t="shared" si="51"/>
        <v>0.15656178050652342</v>
      </c>
      <c r="CK71" s="62">
        <f t="shared" si="169"/>
        <v>0.12408688965782391</v>
      </c>
      <c r="CL71" s="62">
        <f t="shared" si="169"/>
        <v>0.27653301886792453</v>
      </c>
      <c r="CM71" s="62">
        <f t="shared" si="169"/>
        <v>0.45787262273330387</v>
      </c>
      <c r="CN71" s="62">
        <f t="shared" si="169"/>
        <v>0.6536443148688047</v>
      </c>
      <c r="CO71" s="67">
        <f t="shared" si="53"/>
        <v>0.34892007455322882</v>
      </c>
      <c r="CP71" s="48"/>
    </row>
    <row r="72" spans="1:94" ht="30.75" customHeight="1" x14ac:dyDescent="0.3">
      <c r="A72" s="49">
        <v>54</v>
      </c>
      <c r="B72" s="50" t="s">
        <v>126</v>
      </c>
      <c r="C72" s="50" t="s">
        <v>129</v>
      </c>
      <c r="D72" s="51">
        <v>45901</v>
      </c>
      <c r="E72" s="52">
        <v>139</v>
      </c>
      <c r="F72" s="52">
        <v>108</v>
      </c>
      <c r="G72" s="53">
        <f t="shared" si="1"/>
        <v>0.7769784172661871</v>
      </c>
      <c r="H72" s="52">
        <v>3314</v>
      </c>
      <c r="I72" s="52">
        <v>2771</v>
      </c>
      <c r="J72" s="52">
        <v>2055</v>
      </c>
      <c r="K72" s="52">
        <v>1504</v>
      </c>
      <c r="L72" s="54">
        <f t="shared" si="3"/>
        <v>9644</v>
      </c>
      <c r="M72" s="52">
        <v>3103</v>
      </c>
      <c r="N72" s="52">
        <v>2599</v>
      </c>
      <c r="O72" s="52">
        <v>1977</v>
      </c>
      <c r="P72" s="52">
        <v>1455</v>
      </c>
      <c r="Q72" s="54">
        <f t="shared" si="5"/>
        <v>9134</v>
      </c>
      <c r="R72" s="52">
        <v>333</v>
      </c>
      <c r="S72" s="52">
        <v>85</v>
      </c>
      <c r="T72" s="52">
        <v>6</v>
      </c>
      <c r="U72" s="52">
        <v>0</v>
      </c>
      <c r="V72" s="55">
        <f t="shared" si="7"/>
        <v>424</v>
      </c>
      <c r="W72" s="52">
        <v>993</v>
      </c>
      <c r="X72" s="52">
        <v>240</v>
      </c>
      <c r="Y72" s="52">
        <v>42</v>
      </c>
      <c r="Z72" s="52">
        <v>12</v>
      </c>
      <c r="AA72" s="55">
        <f t="shared" si="9"/>
        <v>1287</v>
      </c>
      <c r="AB72" s="52">
        <v>1203</v>
      </c>
      <c r="AC72" s="52">
        <v>978</v>
      </c>
      <c r="AD72" s="52">
        <v>397</v>
      </c>
      <c r="AE72" s="52">
        <v>149</v>
      </c>
      <c r="AF72" s="55">
        <f t="shared" si="11"/>
        <v>2727</v>
      </c>
      <c r="AG72" s="52">
        <v>574</v>
      </c>
      <c r="AH72" s="52">
        <v>1296</v>
      </c>
      <c r="AI72" s="52">
        <v>1532</v>
      </c>
      <c r="AJ72" s="52">
        <v>1294</v>
      </c>
      <c r="AK72" s="55">
        <f t="shared" si="13"/>
        <v>4696</v>
      </c>
      <c r="AL72" s="56">
        <f t="shared" si="14"/>
        <v>0.38768933290364166</v>
      </c>
      <c r="AM72" s="56">
        <f t="shared" si="15"/>
        <v>0.37629857637552905</v>
      </c>
      <c r="AN72" s="56">
        <f t="shared" si="16"/>
        <v>0.20080930703085484</v>
      </c>
      <c r="AO72" s="56">
        <f t="shared" si="17"/>
        <v>0.10240549828178694</v>
      </c>
      <c r="AP72" s="57">
        <f t="shared" si="18"/>
        <v>0.29855485001094811</v>
      </c>
      <c r="AQ72" s="56">
        <f t="shared" si="19"/>
        <v>0.18498227521753141</v>
      </c>
      <c r="AR72" s="56">
        <f t="shared" si="20"/>
        <v>0.49865332820315506</v>
      </c>
      <c r="AS72" s="56">
        <f t="shared" si="21"/>
        <v>0.77491148204350024</v>
      </c>
      <c r="AT72" s="56">
        <f t="shared" si="22"/>
        <v>0.88934707903780064</v>
      </c>
      <c r="AU72" s="57">
        <f t="shared" si="23"/>
        <v>0.51412305671118896</v>
      </c>
      <c r="AV72" s="52">
        <v>657</v>
      </c>
      <c r="AW72" s="52">
        <v>1356</v>
      </c>
      <c r="AX72" s="52">
        <v>1512</v>
      </c>
      <c r="AY72" s="52">
        <v>1275</v>
      </c>
      <c r="AZ72" s="58">
        <f t="shared" si="25"/>
        <v>4800</v>
      </c>
      <c r="BA72" s="52">
        <v>502</v>
      </c>
      <c r="BB72" s="52">
        <v>919</v>
      </c>
      <c r="BC72" s="52">
        <v>1045</v>
      </c>
      <c r="BD72" s="52">
        <v>1104</v>
      </c>
      <c r="BE72" s="59">
        <f t="shared" si="27"/>
        <v>3570</v>
      </c>
      <c r="BF72" s="52">
        <v>287</v>
      </c>
      <c r="BG72" s="52">
        <v>561</v>
      </c>
      <c r="BH72" s="52">
        <v>885</v>
      </c>
      <c r="BI72" s="52">
        <v>1024</v>
      </c>
      <c r="BJ72" s="60">
        <f t="shared" si="29"/>
        <v>2757</v>
      </c>
      <c r="BK72" s="52">
        <v>168</v>
      </c>
      <c r="BL72" s="52">
        <v>262</v>
      </c>
      <c r="BM72" s="52">
        <v>399</v>
      </c>
      <c r="BN72" s="52">
        <v>693</v>
      </c>
      <c r="BO72" s="55">
        <f t="shared" si="31"/>
        <v>1522</v>
      </c>
      <c r="BP72" s="61"/>
      <c r="BQ72" s="62">
        <f t="shared" si="32"/>
        <v>0.21173058330647759</v>
      </c>
      <c r="BR72" s="62">
        <f t="shared" si="33"/>
        <v>0.52173913043478259</v>
      </c>
      <c r="BS72" s="62">
        <f t="shared" si="34"/>
        <v>0.76479514415781491</v>
      </c>
      <c r="BT72" s="62">
        <f t="shared" si="35"/>
        <v>0.87628865979381443</v>
      </c>
      <c r="BU72" s="63">
        <f t="shared" si="36"/>
        <v>0.5255090869279615</v>
      </c>
      <c r="BV72" s="62">
        <f t="shared" si="37"/>
        <v>0.16177892362230101</v>
      </c>
      <c r="BW72" s="62">
        <f t="shared" si="38"/>
        <v>0.35359753751442863</v>
      </c>
      <c r="BX72" s="62">
        <f t="shared" si="39"/>
        <v>0.52857865452706121</v>
      </c>
      <c r="BY72" s="62">
        <f t="shared" si="40"/>
        <v>0.75876288659793811</v>
      </c>
      <c r="BZ72" s="64">
        <f t="shared" si="41"/>
        <v>0.39084738340267133</v>
      </c>
      <c r="CA72" s="62">
        <f t="shared" si="42"/>
        <v>9.2491137608765706E-2</v>
      </c>
      <c r="CB72" s="62">
        <f t="shared" si="43"/>
        <v>0.21585225086571758</v>
      </c>
      <c r="CC72" s="62">
        <f t="shared" si="44"/>
        <v>0.44764795144157815</v>
      </c>
      <c r="CD72" s="62">
        <f t="shared" si="45"/>
        <v>0.70378006872852239</v>
      </c>
      <c r="CE72" s="65">
        <f t="shared" si="46"/>
        <v>0.30183928180424785</v>
      </c>
      <c r="CF72" s="62">
        <f t="shared" si="47"/>
        <v>5.4141153722204322E-2</v>
      </c>
      <c r="CG72" s="62">
        <f t="shared" si="48"/>
        <v>0.10080800307810696</v>
      </c>
      <c r="CH72" s="62">
        <f t="shared" si="49"/>
        <v>0.20182094081942337</v>
      </c>
      <c r="CI72" s="62">
        <f t="shared" si="50"/>
        <v>0.47628865979381441</v>
      </c>
      <c r="CJ72" s="66">
        <f t="shared" si="51"/>
        <v>0.16663017298007446</v>
      </c>
      <c r="CK72" s="62">
        <f t="shared" si="169"/>
        <v>0.13003544956493715</v>
      </c>
      <c r="CL72" s="62">
        <f t="shared" si="169"/>
        <v>0.29799923047325894</v>
      </c>
      <c r="CM72" s="62">
        <f t="shared" si="169"/>
        <v>0.4857106727364694</v>
      </c>
      <c r="CN72" s="62">
        <f t="shared" si="169"/>
        <v>0.70378006872852239</v>
      </c>
      <c r="CO72" s="67">
        <f t="shared" si="53"/>
        <v>0.34620648127873876</v>
      </c>
      <c r="CP72" s="48"/>
    </row>
    <row r="73" spans="1:94" ht="30.75" customHeight="1" x14ac:dyDescent="0.3">
      <c r="A73" s="49">
        <v>55</v>
      </c>
      <c r="B73" s="50" t="s">
        <v>126</v>
      </c>
      <c r="C73" s="50" t="s">
        <v>130</v>
      </c>
      <c r="D73" s="51">
        <v>45901</v>
      </c>
      <c r="E73" s="52">
        <v>273</v>
      </c>
      <c r="F73" s="52">
        <v>37</v>
      </c>
      <c r="G73" s="53">
        <f t="shared" si="1"/>
        <v>0.13553113553113552</v>
      </c>
      <c r="H73" s="52">
        <v>5762</v>
      </c>
      <c r="I73" s="52">
        <v>4881</v>
      </c>
      <c r="J73" s="52">
        <v>3043</v>
      </c>
      <c r="K73" s="52">
        <v>1712</v>
      </c>
      <c r="L73" s="54">
        <f t="shared" si="3"/>
        <v>15398</v>
      </c>
      <c r="M73" s="52">
        <v>1185</v>
      </c>
      <c r="N73" s="52">
        <v>950</v>
      </c>
      <c r="O73" s="52">
        <v>583</v>
      </c>
      <c r="P73" s="52">
        <v>393</v>
      </c>
      <c r="Q73" s="54">
        <f t="shared" si="5"/>
        <v>3111</v>
      </c>
      <c r="R73" s="52">
        <v>24</v>
      </c>
      <c r="S73" s="52">
        <v>3</v>
      </c>
      <c r="T73" s="52">
        <v>0</v>
      </c>
      <c r="U73" s="52">
        <v>0</v>
      </c>
      <c r="V73" s="55">
        <f t="shared" si="7"/>
        <v>27</v>
      </c>
      <c r="W73" s="52">
        <v>104</v>
      </c>
      <c r="X73" s="52">
        <v>18</v>
      </c>
      <c r="Y73" s="52">
        <v>7</v>
      </c>
      <c r="Z73" s="52">
        <v>0</v>
      </c>
      <c r="AA73" s="55">
        <f t="shared" si="9"/>
        <v>129</v>
      </c>
      <c r="AB73" s="52">
        <v>565</v>
      </c>
      <c r="AC73" s="52">
        <v>228</v>
      </c>
      <c r="AD73" s="52">
        <v>53</v>
      </c>
      <c r="AE73" s="52">
        <v>7</v>
      </c>
      <c r="AF73" s="55">
        <f t="shared" si="11"/>
        <v>853</v>
      </c>
      <c r="AG73" s="52">
        <v>492</v>
      </c>
      <c r="AH73" s="52">
        <v>701</v>
      </c>
      <c r="AI73" s="52">
        <v>523</v>
      </c>
      <c r="AJ73" s="52">
        <v>386</v>
      </c>
      <c r="AK73" s="55">
        <f t="shared" si="13"/>
        <v>2102</v>
      </c>
      <c r="AL73" s="56">
        <f t="shared" si="14"/>
        <v>0.47679324894514769</v>
      </c>
      <c r="AM73" s="56">
        <f t="shared" si="15"/>
        <v>0.24</v>
      </c>
      <c r="AN73" s="56">
        <f t="shared" si="16"/>
        <v>9.0909090909090912E-2</v>
      </c>
      <c r="AO73" s="56">
        <f t="shared" si="17"/>
        <v>1.7811704834605598E-2</v>
      </c>
      <c r="AP73" s="57">
        <f t="shared" si="18"/>
        <v>0.27418836387013823</v>
      </c>
      <c r="AQ73" s="56">
        <f t="shared" si="19"/>
        <v>0.41518987341772151</v>
      </c>
      <c r="AR73" s="56">
        <f t="shared" si="20"/>
        <v>0.73789473684210527</v>
      </c>
      <c r="AS73" s="56">
        <f t="shared" si="21"/>
        <v>0.89708404802744424</v>
      </c>
      <c r="AT73" s="56">
        <f t="shared" si="22"/>
        <v>0.98218829516539441</v>
      </c>
      <c r="AU73" s="57">
        <f t="shared" si="23"/>
        <v>0.6756669881067181</v>
      </c>
      <c r="AV73" s="52">
        <v>575</v>
      </c>
      <c r="AW73" s="52">
        <v>677</v>
      </c>
      <c r="AX73" s="52">
        <v>527</v>
      </c>
      <c r="AY73" s="52">
        <v>386</v>
      </c>
      <c r="AZ73" s="58">
        <f t="shared" si="25"/>
        <v>2165</v>
      </c>
      <c r="BA73" s="52">
        <v>551</v>
      </c>
      <c r="BB73" s="52">
        <v>562</v>
      </c>
      <c r="BC73" s="52">
        <v>406</v>
      </c>
      <c r="BD73" s="52">
        <v>302</v>
      </c>
      <c r="BE73" s="59">
        <f t="shared" si="27"/>
        <v>1821</v>
      </c>
      <c r="BF73" s="52">
        <v>368</v>
      </c>
      <c r="BG73" s="52">
        <v>484</v>
      </c>
      <c r="BH73" s="52">
        <v>447</v>
      </c>
      <c r="BI73" s="52">
        <v>360</v>
      </c>
      <c r="BJ73" s="60">
        <f t="shared" si="29"/>
        <v>1659</v>
      </c>
      <c r="BK73" s="52">
        <v>208</v>
      </c>
      <c r="BL73" s="52">
        <v>258</v>
      </c>
      <c r="BM73" s="52">
        <v>292</v>
      </c>
      <c r="BN73" s="52">
        <v>286</v>
      </c>
      <c r="BO73" s="55">
        <f t="shared" si="31"/>
        <v>1044</v>
      </c>
      <c r="BP73" s="61"/>
      <c r="BQ73" s="62">
        <f t="shared" si="32"/>
        <v>0.48523206751054854</v>
      </c>
      <c r="BR73" s="62">
        <f t="shared" si="33"/>
        <v>0.71263157894736839</v>
      </c>
      <c r="BS73" s="62">
        <f t="shared" si="34"/>
        <v>0.90394511149228129</v>
      </c>
      <c r="BT73" s="62">
        <f t="shared" si="35"/>
        <v>0.98218829516539441</v>
      </c>
      <c r="BU73" s="63">
        <f t="shared" si="36"/>
        <v>0.69591771134683378</v>
      </c>
      <c r="BV73" s="62">
        <f t="shared" si="37"/>
        <v>0.46497890295358651</v>
      </c>
      <c r="BW73" s="62">
        <f t="shared" si="38"/>
        <v>0.59157894736842109</v>
      </c>
      <c r="BX73" s="62">
        <f t="shared" si="39"/>
        <v>0.69639794168096059</v>
      </c>
      <c r="BY73" s="62">
        <f t="shared" si="40"/>
        <v>0.76844783715012721</v>
      </c>
      <c r="BZ73" s="64">
        <f t="shared" si="41"/>
        <v>0.58534233365477339</v>
      </c>
      <c r="CA73" s="62">
        <f t="shared" si="42"/>
        <v>0.31054852320675108</v>
      </c>
      <c r="CB73" s="62">
        <f t="shared" si="43"/>
        <v>0.5094736842105263</v>
      </c>
      <c r="CC73" s="62">
        <f t="shared" si="44"/>
        <v>0.76672384219554035</v>
      </c>
      <c r="CD73" s="62">
        <f t="shared" si="45"/>
        <v>0.91603053435114501</v>
      </c>
      <c r="CE73" s="65">
        <f t="shared" si="46"/>
        <v>0.5332690453230472</v>
      </c>
      <c r="CF73" s="62">
        <f t="shared" si="47"/>
        <v>0.17552742616033756</v>
      </c>
      <c r="CG73" s="62">
        <f t="shared" si="48"/>
        <v>0.27157894736842103</v>
      </c>
      <c r="CH73" s="62">
        <f t="shared" si="49"/>
        <v>0.50085763293310459</v>
      </c>
      <c r="CI73" s="62">
        <f t="shared" si="50"/>
        <v>0.72773536895674296</v>
      </c>
      <c r="CJ73" s="66">
        <f t="shared" si="51"/>
        <v>0.33558341369334621</v>
      </c>
      <c r="CK73" s="62">
        <f t="shared" si="169"/>
        <v>0.3590717299578059</v>
      </c>
      <c r="CL73" s="62">
        <f t="shared" si="169"/>
        <v>0.52131578947368418</v>
      </c>
      <c r="CM73" s="62">
        <f t="shared" si="169"/>
        <v>0.71698113207547165</v>
      </c>
      <c r="CN73" s="62">
        <f t="shared" si="169"/>
        <v>0.84860050890585248</v>
      </c>
      <c r="CO73" s="67">
        <f t="shared" si="53"/>
        <v>0.53752812600450017</v>
      </c>
      <c r="CP73" s="48"/>
    </row>
    <row r="74" spans="1:94" ht="30.75" customHeight="1" x14ac:dyDescent="0.3">
      <c r="A74" s="81" t="s">
        <v>131</v>
      </c>
      <c r="B74" s="4"/>
      <c r="C74" s="4"/>
      <c r="D74" s="5"/>
      <c r="E74" s="40">
        <f t="shared" ref="E74:F74" si="181">+E69+E66+E60+E52+E56+E46+E37+E29+E21+E17+E9+E3</f>
        <v>12305</v>
      </c>
      <c r="F74" s="40">
        <f t="shared" si="181"/>
        <v>10754</v>
      </c>
      <c r="G74" s="41">
        <f t="shared" si="1"/>
        <v>0.87395367736692398</v>
      </c>
      <c r="H74" s="40">
        <f t="shared" ref="H74:AK74" si="182">+H69+H66+H60+H52+H56+H46+H37+H29+H21+H17+H9+H3</f>
        <v>391393</v>
      </c>
      <c r="I74" s="40">
        <f t="shared" si="182"/>
        <v>342206</v>
      </c>
      <c r="J74" s="40">
        <f t="shared" si="182"/>
        <v>260198</v>
      </c>
      <c r="K74" s="40">
        <f t="shared" si="182"/>
        <v>189648</v>
      </c>
      <c r="L74" s="40">
        <f t="shared" si="182"/>
        <v>1183445</v>
      </c>
      <c r="M74" s="40">
        <f t="shared" si="182"/>
        <v>355568</v>
      </c>
      <c r="N74" s="40">
        <f t="shared" si="182"/>
        <v>316003</v>
      </c>
      <c r="O74" s="40">
        <f t="shared" si="182"/>
        <v>243032</v>
      </c>
      <c r="P74" s="40">
        <f t="shared" si="182"/>
        <v>176588</v>
      </c>
      <c r="Q74" s="40">
        <f t="shared" si="182"/>
        <v>1091191</v>
      </c>
      <c r="R74" s="40">
        <f t="shared" si="182"/>
        <v>27589</v>
      </c>
      <c r="S74" s="40">
        <f t="shared" si="182"/>
        <v>5943</v>
      </c>
      <c r="T74" s="40">
        <f t="shared" si="182"/>
        <v>1471</v>
      </c>
      <c r="U74" s="40">
        <f t="shared" si="182"/>
        <v>409</v>
      </c>
      <c r="V74" s="40">
        <f t="shared" si="182"/>
        <v>35412</v>
      </c>
      <c r="W74" s="40">
        <f t="shared" si="182"/>
        <v>68042</v>
      </c>
      <c r="X74" s="40">
        <f t="shared" si="182"/>
        <v>28783</v>
      </c>
      <c r="Y74" s="40">
        <f t="shared" si="182"/>
        <v>7957</v>
      </c>
      <c r="Z74" s="40">
        <f t="shared" si="182"/>
        <v>1712</v>
      </c>
      <c r="AA74" s="40">
        <f t="shared" si="182"/>
        <v>106494</v>
      </c>
      <c r="AB74" s="40">
        <f t="shared" si="182"/>
        <v>133412</v>
      </c>
      <c r="AC74" s="40">
        <f t="shared" si="182"/>
        <v>94093</v>
      </c>
      <c r="AD74" s="40">
        <f t="shared" si="182"/>
        <v>44952</v>
      </c>
      <c r="AE74" s="40">
        <f t="shared" si="182"/>
        <v>15634</v>
      </c>
      <c r="AF74" s="40">
        <f t="shared" si="182"/>
        <v>288091</v>
      </c>
      <c r="AG74" s="40">
        <f t="shared" si="182"/>
        <v>120617</v>
      </c>
      <c r="AH74" s="40">
        <f t="shared" si="182"/>
        <v>189508</v>
      </c>
      <c r="AI74" s="40">
        <f t="shared" si="182"/>
        <v>194993</v>
      </c>
      <c r="AJ74" s="40">
        <f t="shared" si="182"/>
        <v>152177</v>
      </c>
      <c r="AK74" s="40">
        <f t="shared" si="182"/>
        <v>657295</v>
      </c>
      <c r="AL74" s="44">
        <f t="shared" si="14"/>
        <v>0.37520811771587992</v>
      </c>
      <c r="AM74" s="44">
        <f t="shared" si="15"/>
        <v>0.29775983139400575</v>
      </c>
      <c r="AN74" s="44">
        <f t="shared" si="16"/>
        <v>0.18496329701438494</v>
      </c>
      <c r="AO74" s="44">
        <f t="shared" si="17"/>
        <v>8.8533762203547237E-2</v>
      </c>
      <c r="AP74" s="44">
        <f t="shared" si="18"/>
        <v>0.264015190741126</v>
      </c>
      <c r="AQ74" s="44">
        <f t="shared" si="19"/>
        <v>0.33922343967961122</v>
      </c>
      <c r="AR74" s="44">
        <f t="shared" si="20"/>
        <v>0.5997031673749933</v>
      </c>
      <c r="AS74" s="44">
        <f t="shared" si="21"/>
        <v>0.80233467197735275</v>
      </c>
      <c r="AT74" s="44">
        <f t="shared" si="22"/>
        <v>0.86176297370149724</v>
      </c>
      <c r="AU74" s="44">
        <f t="shared" si="23"/>
        <v>0.6023647555744136</v>
      </c>
      <c r="AV74" s="40">
        <f t="shared" ref="AV74:BO74" si="183">+AV69+AV66+AV60+AV52+AV56+AV46+AV37+AV29+AV21+AV17+AV9+AV3</f>
        <v>160833</v>
      </c>
      <c r="AW74" s="40">
        <f t="shared" si="183"/>
        <v>205386</v>
      </c>
      <c r="AX74" s="40">
        <f t="shared" si="183"/>
        <v>193758</v>
      </c>
      <c r="AY74" s="40">
        <f t="shared" si="183"/>
        <v>152914</v>
      </c>
      <c r="AZ74" s="40">
        <f t="shared" si="183"/>
        <v>712891</v>
      </c>
      <c r="BA74" s="40">
        <f t="shared" si="183"/>
        <v>128892</v>
      </c>
      <c r="BB74" s="40">
        <f t="shared" si="183"/>
        <v>163484.70000000001</v>
      </c>
      <c r="BC74" s="40">
        <f t="shared" si="183"/>
        <v>165344.79999999999</v>
      </c>
      <c r="BD74" s="40">
        <f t="shared" si="183"/>
        <v>140226</v>
      </c>
      <c r="BE74" s="40">
        <f t="shared" si="183"/>
        <v>597947.5</v>
      </c>
      <c r="BF74" s="40">
        <f t="shared" si="183"/>
        <v>78051</v>
      </c>
      <c r="BG74" s="40">
        <f t="shared" si="183"/>
        <v>119870</v>
      </c>
      <c r="BH74" s="40">
        <f t="shared" si="183"/>
        <v>141433</v>
      </c>
      <c r="BI74" s="40">
        <f t="shared" si="183"/>
        <v>127416</v>
      </c>
      <c r="BJ74" s="40">
        <f t="shared" si="183"/>
        <v>466770</v>
      </c>
      <c r="BK74" s="40">
        <f t="shared" si="183"/>
        <v>49600</v>
      </c>
      <c r="BL74" s="40">
        <f t="shared" si="183"/>
        <v>77763.8</v>
      </c>
      <c r="BM74" s="40">
        <f t="shared" si="183"/>
        <v>97052</v>
      </c>
      <c r="BN74" s="40">
        <f t="shared" si="183"/>
        <v>99385</v>
      </c>
      <c r="BO74" s="40">
        <f t="shared" si="183"/>
        <v>323800.8</v>
      </c>
      <c r="BP74" s="61"/>
      <c r="BQ74" s="47">
        <f t="shared" si="32"/>
        <v>0.45232698105566305</v>
      </c>
      <c r="BR74" s="47">
        <f t="shared" si="33"/>
        <v>0.64994952579564114</v>
      </c>
      <c r="BS74" s="47">
        <f t="shared" si="34"/>
        <v>0.79725303663715064</v>
      </c>
      <c r="BT74" s="47">
        <f t="shared" si="35"/>
        <v>0.86593653022855455</v>
      </c>
      <c r="BU74" s="47">
        <f t="shared" si="36"/>
        <v>0.65331458928821806</v>
      </c>
      <c r="BV74" s="47">
        <f t="shared" si="37"/>
        <v>0.3624960626378077</v>
      </c>
      <c r="BW74" s="47">
        <f t="shared" si="38"/>
        <v>0.51735173400252532</v>
      </c>
      <c r="BX74" s="47">
        <f t="shared" si="39"/>
        <v>0.6803416833997169</v>
      </c>
      <c r="BY74" s="47">
        <f t="shared" si="40"/>
        <v>0.79408566833533423</v>
      </c>
      <c r="BZ74" s="47">
        <f t="shared" si="41"/>
        <v>0.54797693529363789</v>
      </c>
      <c r="CA74" s="47">
        <f t="shared" si="42"/>
        <v>0.21951075462358818</v>
      </c>
      <c r="CB74" s="47">
        <f t="shared" si="43"/>
        <v>0.37933184178631213</v>
      </c>
      <c r="CC74" s="47">
        <f t="shared" si="44"/>
        <v>0.58195217090753482</v>
      </c>
      <c r="CD74" s="47">
        <f t="shared" si="45"/>
        <v>0.72154393277006368</v>
      </c>
      <c r="CE74" s="47">
        <f t="shared" si="46"/>
        <v>0.42776195918038179</v>
      </c>
      <c r="CF74" s="47">
        <f t="shared" si="47"/>
        <v>0.13949511767088152</v>
      </c>
      <c r="CG74" s="47">
        <f t="shared" si="48"/>
        <v>0.24608563842748329</v>
      </c>
      <c r="CH74" s="47">
        <f t="shared" si="49"/>
        <v>0.39933835873465223</v>
      </c>
      <c r="CI74" s="47">
        <f t="shared" si="50"/>
        <v>0.56280721226810426</v>
      </c>
      <c r="CJ74" s="47">
        <f t="shared" si="51"/>
        <v>0.29674071725298318</v>
      </c>
      <c r="CK74" s="47">
        <f t="shared" si="169"/>
        <v>0.29345722899698512</v>
      </c>
      <c r="CL74" s="47">
        <f t="shared" si="169"/>
        <v>0.44817968500299044</v>
      </c>
      <c r="CM74" s="47">
        <f t="shared" si="169"/>
        <v>0.61472131241976369</v>
      </c>
      <c r="CN74" s="47">
        <f t="shared" si="169"/>
        <v>0.73609333590051418</v>
      </c>
      <c r="CO74" s="47">
        <f t="shared" si="53"/>
        <v>0.48144855025380529</v>
      </c>
      <c r="CP74" s="48"/>
    </row>
    <row r="75" spans="1:94" ht="14.25" customHeight="1" x14ac:dyDescent="0.3"/>
    <row r="76" spans="1:94" ht="14.25" customHeight="1" x14ac:dyDescent="0.3"/>
    <row r="77" spans="1:94" ht="14.25" customHeight="1" x14ac:dyDescent="0.3"/>
    <row r="78" spans="1:94" ht="14.25" customHeight="1" x14ac:dyDescent="0.3"/>
    <row r="79" spans="1:94" ht="14.25" customHeight="1" x14ac:dyDescent="0.3"/>
    <row r="80" spans="1:9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9">
    <mergeCell ref="A74:D74"/>
    <mergeCell ref="BQ1:BU1"/>
    <mergeCell ref="BV1:BZ1"/>
    <mergeCell ref="CA1:CE1"/>
    <mergeCell ref="CF1:CJ1"/>
    <mergeCell ref="CK1:CO1"/>
    <mergeCell ref="CP1:CP2"/>
    <mergeCell ref="AL1:AP1"/>
    <mergeCell ref="AQ1:AU1"/>
    <mergeCell ref="AV1:AZ1"/>
    <mergeCell ref="BA1:BE1"/>
    <mergeCell ref="BF1:BJ1"/>
    <mergeCell ref="BK1:BO1"/>
    <mergeCell ref="H1:K1"/>
    <mergeCell ref="M1:P1"/>
    <mergeCell ref="R1:V1"/>
    <mergeCell ref="W1:AA1"/>
    <mergeCell ref="AB1:AF1"/>
    <mergeCell ref="AG1:AK1"/>
  </mergeCells>
  <conditionalFormatting sqref="B3:C73">
    <cfRule type="cellIs" dxfId="511" priority="6" operator="notEqual">
      <formula>#N/A</formula>
    </cfRule>
  </conditionalFormatting>
  <conditionalFormatting sqref="D4:D7 D18">
    <cfRule type="containsBlanks" dxfId="510" priority="96">
      <formula>LEN(TRIM(D4))=0</formula>
    </cfRule>
  </conditionalFormatting>
  <conditionalFormatting sqref="D4:K8">
    <cfRule type="containsBlanks" dxfId="509" priority="95">
      <formula>LEN(TRIM(D4))=0</formula>
    </cfRule>
  </conditionalFormatting>
  <conditionalFormatting sqref="D10:K16">
    <cfRule type="containsBlanks" dxfId="508" priority="50">
      <formula>LEN(TRIM(D10))=0</formula>
    </cfRule>
  </conditionalFormatting>
  <conditionalFormatting sqref="D18:K20">
    <cfRule type="containsBlanks" dxfId="507" priority="114">
      <formula>LEN(TRIM(D18))=0</formula>
    </cfRule>
  </conditionalFormatting>
  <conditionalFormatting sqref="D22:K28">
    <cfRule type="containsBlanks" dxfId="506" priority="132">
      <formula>LEN(TRIM(D22))=0</formula>
    </cfRule>
  </conditionalFormatting>
  <conditionalFormatting sqref="D30:K36">
    <cfRule type="containsBlanks" dxfId="505" priority="150">
      <formula>LEN(TRIM(D30))=0</formula>
    </cfRule>
  </conditionalFormatting>
  <conditionalFormatting sqref="D38:K45">
    <cfRule type="containsBlanks" dxfId="504" priority="168">
      <formula>LEN(TRIM(D38))=0</formula>
    </cfRule>
  </conditionalFormatting>
  <conditionalFormatting sqref="D47:K51 D57:K59">
    <cfRule type="containsBlanks" dxfId="503" priority="186">
      <formula>LEN(TRIM(D47))=0</formula>
    </cfRule>
  </conditionalFormatting>
  <conditionalFormatting sqref="D53:K55">
    <cfRule type="containsBlanks" dxfId="502" priority="32">
      <formula>LEN(TRIM(D53))=0</formula>
    </cfRule>
  </conditionalFormatting>
  <conditionalFormatting sqref="D61:K65">
    <cfRule type="containsBlanks" dxfId="501" priority="221">
      <formula>LEN(TRIM(D61))=0</formula>
    </cfRule>
  </conditionalFormatting>
  <conditionalFormatting sqref="D67:K68">
    <cfRule type="containsBlanks" dxfId="500" priority="236">
      <formula>LEN(TRIM(D67))=0</formula>
    </cfRule>
  </conditionalFormatting>
  <conditionalFormatting sqref="H67:K68 D70:K73">
    <cfRule type="containsBlanks" dxfId="499" priority="251">
      <formula>LEN(TRIM(D70))=0</formula>
    </cfRule>
  </conditionalFormatting>
  <conditionalFormatting sqref="M4:P8">
    <cfRule type="cellIs" dxfId="498" priority="56" stopIfTrue="1" operator="equal">
      <formula>0</formula>
    </cfRule>
    <cfRule type="expression" dxfId="497" priority="57">
      <formula>H4&lt;M4</formula>
    </cfRule>
  </conditionalFormatting>
  <conditionalFormatting sqref="M10:P16">
    <cfRule type="cellIs" dxfId="495" priority="33" stopIfTrue="1" operator="equal">
      <formula>0</formula>
    </cfRule>
    <cfRule type="expression" dxfId="496" priority="34">
      <formula>H10&lt;M10</formula>
    </cfRule>
  </conditionalFormatting>
  <conditionalFormatting sqref="M18:P20">
    <cfRule type="cellIs" dxfId="494" priority="97" stopIfTrue="1" operator="equal">
      <formula>0</formula>
    </cfRule>
    <cfRule type="expression" dxfId="493" priority="98">
      <formula>H18&lt;M18</formula>
    </cfRule>
  </conditionalFormatting>
  <conditionalFormatting sqref="M22:P28">
    <cfRule type="cellIs" dxfId="491" priority="115" stopIfTrue="1" operator="equal">
      <formula>0</formula>
    </cfRule>
    <cfRule type="expression" dxfId="492" priority="116">
      <formula>H22&lt;M22</formula>
    </cfRule>
  </conditionalFormatting>
  <conditionalFormatting sqref="M30:P36">
    <cfRule type="cellIs" dxfId="490" priority="133" stopIfTrue="1" operator="equal">
      <formula>0</formula>
    </cfRule>
    <cfRule type="expression" dxfId="489" priority="134">
      <formula>H30&lt;M30</formula>
    </cfRule>
  </conditionalFormatting>
  <conditionalFormatting sqref="M38:P45">
    <cfRule type="cellIs" dxfId="488" priority="151" stopIfTrue="1" operator="equal">
      <formula>0</formula>
    </cfRule>
    <cfRule type="expression" dxfId="487" priority="152">
      <formula>H38&lt;M38</formula>
    </cfRule>
  </conditionalFormatting>
  <conditionalFormatting sqref="M47:P51">
    <cfRule type="cellIs" dxfId="486" priority="169" stopIfTrue="1" operator="equal">
      <formula>0</formula>
    </cfRule>
    <cfRule type="expression" dxfId="485" priority="170">
      <formula>H47&lt;M47</formula>
    </cfRule>
  </conditionalFormatting>
  <conditionalFormatting sqref="M53:P55">
    <cfRule type="cellIs" dxfId="484" priority="7" stopIfTrue="1" operator="equal">
      <formula>0</formula>
    </cfRule>
    <cfRule type="expression" dxfId="483" priority="8">
      <formula>H53&lt;M53</formula>
    </cfRule>
  </conditionalFormatting>
  <conditionalFormatting sqref="M57:P59">
    <cfRule type="cellIs" dxfId="482" priority="187" stopIfTrue="1" operator="equal">
      <formula>0</formula>
    </cfRule>
    <cfRule type="expression" dxfId="481" priority="188">
      <formula>H57&lt;M57</formula>
    </cfRule>
  </conditionalFormatting>
  <conditionalFormatting sqref="M61:P65">
    <cfRule type="cellIs" dxfId="480" priority="204" stopIfTrue="1" operator="equal">
      <formula>0</formula>
    </cfRule>
    <cfRule type="expression" dxfId="479" priority="205">
      <formula>H61&lt;M61</formula>
    </cfRule>
  </conditionalFormatting>
  <conditionalFormatting sqref="M67:P68 M70:P73">
    <cfRule type="cellIs" dxfId="477" priority="237" stopIfTrue="1" operator="equal">
      <formula>0</formula>
    </cfRule>
    <cfRule type="expression" dxfId="478" priority="238">
      <formula>H67&lt;M67</formula>
    </cfRule>
  </conditionalFormatting>
  <conditionalFormatting sqref="M67:P68">
    <cfRule type="cellIs" dxfId="475" priority="222" stopIfTrue="1" operator="equal">
      <formula>0</formula>
    </cfRule>
    <cfRule type="expression" dxfId="476" priority="223">
      <formula>H67&lt;M67</formula>
    </cfRule>
  </conditionalFormatting>
  <conditionalFormatting sqref="Q3:Q73">
    <cfRule type="expression" dxfId="474" priority="9">
      <formula>L3&lt;Q3</formula>
    </cfRule>
  </conditionalFormatting>
  <conditionalFormatting sqref="R4:R8 W4:W8 AB4:AB8 AG4:AG8">
    <cfRule type="expression" dxfId="473" priority="58">
      <formula>($R4+$W4+$AB4+$AG4)&gt;$H4</formula>
    </cfRule>
  </conditionalFormatting>
  <conditionalFormatting sqref="R10:R16 W10:W16 AB10:AB16 AG10:AG16">
    <cfRule type="expression" dxfId="472" priority="35">
      <formula>($R10+$W10+$AB10+$AG10)&gt;$H10</formula>
    </cfRule>
  </conditionalFormatting>
  <conditionalFormatting sqref="R18:R20 W18:W20 AB18:AB20 AG18:AG20">
    <cfRule type="expression" dxfId="471" priority="99">
      <formula>($R18+$W18+$AB18+$AG18)&gt;$H18</formula>
    </cfRule>
  </conditionalFormatting>
  <conditionalFormatting sqref="R22:R28 W22:W28 AB22:AB28 AG22:AG28">
    <cfRule type="expression" dxfId="470" priority="117">
      <formula>($R22+$W22+$AB22+$AG22)&gt;$H22</formula>
    </cfRule>
  </conditionalFormatting>
  <conditionalFormatting sqref="R30:R36 W30:W36 AB30:AB36 AG30:AG36">
    <cfRule type="expression" dxfId="469" priority="135">
      <formula>($R30+$W30+$AB30+$AG30)&gt;$H30</formula>
    </cfRule>
  </conditionalFormatting>
  <conditionalFormatting sqref="R38:R45 W38:W45 AB38:AB45 AG38:AG45">
    <cfRule type="expression" dxfId="468" priority="153">
      <formula>($R38+$W38+$AB38+$AG38)&gt;$H38</formula>
    </cfRule>
  </conditionalFormatting>
  <conditionalFormatting sqref="R47:R51 W47:W51 AB47:AB51 AG47:AG51">
    <cfRule type="expression" dxfId="467" priority="171">
      <formula>($R47+$W47+$AB47+$AG47)&gt;$H47</formula>
    </cfRule>
  </conditionalFormatting>
  <conditionalFormatting sqref="R53:R55 W53:W55 AB53:AB55 AG53:AG55">
    <cfRule type="expression" dxfId="466" priority="10">
      <formula>($R53+$W53+$AB53+$AG53)&gt;$H53</formula>
    </cfRule>
  </conditionalFormatting>
  <conditionalFormatting sqref="R57:R59 W57:W59 AB57:AB59 AG57:AG59">
    <cfRule type="expression" dxfId="465" priority="189">
      <formula>($R57+$W57+$AB57+$AG57)&gt;$H57</formula>
    </cfRule>
  </conditionalFormatting>
  <conditionalFormatting sqref="R61:R65 W61:W65 AB61:AB65 AG61:AG65">
    <cfRule type="expression" dxfId="464" priority="206">
      <formula>($R61+$W61+$AB61+$AG61)&gt;$H61</formula>
    </cfRule>
  </conditionalFormatting>
  <conditionalFormatting sqref="R67:R68 W67:W68 AB67:AB68 AG67:AG68">
    <cfRule type="expression" dxfId="463" priority="224">
      <formula>($R67+$W67+$AB67+$AG67)&gt;$H67</formula>
    </cfRule>
  </conditionalFormatting>
  <conditionalFormatting sqref="R70:R73 W70:W73 AB70:AB73 AG70:AG73">
    <cfRule type="expression" dxfId="462" priority="239">
      <formula>($R70+$W70+$AB70+$AG70)&gt;$H70</formula>
    </cfRule>
  </conditionalFormatting>
  <conditionalFormatting sqref="R4:U8 W4:Z8 AB4:AE8 AG4:AJ8 BK4:BN8">
    <cfRule type="containsBlanks" dxfId="461" priority="59" stopIfTrue="1">
      <formula>LEN(TRIM(R4))=0</formula>
    </cfRule>
  </conditionalFormatting>
  <conditionalFormatting sqref="R10:U16 W10:Z16 AB10:AE16 AG10:AJ16 BK10:BN16">
    <cfRule type="containsBlanks" dxfId="460" priority="36" stopIfTrue="1">
      <formula>LEN(TRIM(R10))=0</formula>
    </cfRule>
  </conditionalFormatting>
  <conditionalFormatting sqref="R18:U20 W18:Z20 AB18:AE20 AG18:AJ20 BK18:BN20">
    <cfRule type="containsBlanks" dxfId="459" priority="100" stopIfTrue="1">
      <formula>LEN(TRIM(R18))=0</formula>
    </cfRule>
  </conditionalFormatting>
  <conditionalFormatting sqref="R22:U28 W22:Z28 AB22:AE28 AG22:AJ28 BK22:BN28">
    <cfRule type="containsBlanks" dxfId="458" priority="118" stopIfTrue="1">
      <formula>LEN(TRIM(R22))=0</formula>
    </cfRule>
  </conditionalFormatting>
  <conditionalFormatting sqref="R30:U36 W30:Z36 AB30:AE36 AG30:AJ36 BK30:BN36">
    <cfRule type="containsBlanks" dxfId="457" priority="136" stopIfTrue="1">
      <formula>LEN(TRIM(R30))=0</formula>
    </cfRule>
  </conditionalFormatting>
  <conditionalFormatting sqref="R38:U45 W38:Z45 AB38:AE45 AG38:AJ45 BK38:BN45">
    <cfRule type="containsBlanks" dxfId="456" priority="154" stopIfTrue="1">
      <formula>LEN(TRIM(R38))=0</formula>
    </cfRule>
  </conditionalFormatting>
  <conditionalFormatting sqref="R47:U51 W47:Z51 AB47:AE51 AG47:AJ51 BK47:BN51">
    <cfRule type="containsBlanks" dxfId="455" priority="172" stopIfTrue="1">
      <formula>LEN(TRIM(R47))=0</formula>
    </cfRule>
  </conditionalFormatting>
  <conditionalFormatting sqref="R53:U55 W53:Z55 AB53:AE55 AG53:AJ55 BK53:BN55">
    <cfRule type="containsBlanks" dxfId="454" priority="11" stopIfTrue="1">
      <formula>LEN(TRIM(R53))=0</formula>
    </cfRule>
  </conditionalFormatting>
  <conditionalFormatting sqref="R57:U59 W57:Z59 AB57:AE59 AG57:AJ59 BK57:BN59">
    <cfRule type="containsBlanks" dxfId="453" priority="190" stopIfTrue="1">
      <formula>LEN(TRIM(R57))=0</formula>
    </cfRule>
  </conditionalFormatting>
  <conditionalFormatting sqref="R61:U65 W61:Z65 AB61:AE65 AG61:AJ65 BK61:BM65">
    <cfRule type="containsBlanks" dxfId="452" priority="207" stopIfTrue="1">
      <formula>LEN(TRIM(R61))=0</formula>
    </cfRule>
  </conditionalFormatting>
  <conditionalFormatting sqref="R67:U68 W67:Z68 AB67:AE68 AG67:AJ68 BK67:BN68">
    <cfRule type="containsBlanks" dxfId="451" priority="225" stopIfTrue="1">
      <formula>LEN(TRIM(R67))=0</formula>
    </cfRule>
  </conditionalFormatting>
  <conditionalFormatting sqref="R70:U73 W70:Z73 AB70:AE73 AG70:AJ73 BK70:BN73">
    <cfRule type="containsBlanks" dxfId="450" priority="240" stopIfTrue="1">
      <formula>LEN(TRIM(R70))=0</formula>
    </cfRule>
  </conditionalFormatting>
  <conditionalFormatting sqref="S4:S8 X4:X8 AC4:AC8 AH4:AH8 R5">
    <cfRule type="expression" dxfId="449" priority="60">
      <formula>($S4+$X4+$AC4+$AH4)&gt;$I4</formula>
    </cfRule>
  </conditionalFormatting>
  <conditionalFormatting sqref="S10:S16 X10:X16 AC10:AC16 AH10:AH16">
    <cfRule type="expression" dxfId="448" priority="37">
      <formula>($S10+$X10+$AC10+$AH10)&gt;$I10</formula>
    </cfRule>
  </conditionalFormatting>
  <conditionalFormatting sqref="S18:S20 X18:X20 AC18:AC20 AH18:AH20">
    <cfRule type="expression" dxfId="447" priority="101">
      <formula>($S18+$X18+$AC18+$AH18)&gt;$I18</formula>
    </cfRule>
  </conditionalFormatting>
  <conditionalFormatting sqref="S22:S28 X22:X28 AC22:AC28 AH22:AH28">
    <cfRule type="expression" dxfId="446" priority="119">
      <formula>($S22+$X22+$AC22+$AH22)&gt;$I22</formula>
    </cfRule>
  </conditionalFormatting>
  <conditionalFormatting sqref="S30:S36 X30:X36 AC30:AC36 AH30:AH36">
    <cfRule type="expression" dxfId="445" priority="137">
      <formula>($S30+$X30+$AC30+$AH30)&gt;$I30</formula>
    </cfRule>
  </conditionalFormatting>
  <conditionalFormatting sqref="S38:S45 X38:X45 AC38:AC45 AH38:AH45">
    <cfRule type="expression" dxfId="444" priority="155">
      <formula>($S38+$X38+$AC38+$AH38)&gt;$I38</formula>
    </cfRule>
  </conditionalFormatting>
  <conditionalFormatting sqref="S47:S51 X47:X51 AC47:AC51 AH47:AH51">
    <cfRule type="expression" dxfId="443" priority="173">
      <formula>($S47+$X47+$AC47+$AH47)&gt;$I47</formula>
    </cfRule>
  </conditionalFormatting>
  <conditionalFormatting sqref="S53:S55 X53:X55 AC53:AC55 AH53:AH55">
    <cfRule type="expression" dxfId="442" priority="12">
      <formula>($S53+$X53+$AC53+$AH53)&gt;$I53</formula>
    </cfRule>
  </conditionalFormatting>
  <conditionalFormatting sqref="S57:S59 X57:X59 AC57:AC59 AH57:AH59">
    <cfRule type="expression" dxfId="441" priority="191">
      <formula>($S57+$X57+$AC57+$AH57)&gt;$I57</formula>
    </cfRule>
  </conditionalFormatting>
  <conditionalFormatting sqref="S61:S65 X61:X65 AC61:AC65 AH61:AH65">
    <cfRule type="expression" dxfId="440" priority="208">
      <formula>($S61+$X61+$AC61+$AH61)&gt;$I61</formula>
    </cfRule>
  </conditionalFormatting>
  <conditionalFormatting sqref="S67:S68 X67:X68 AC67:AC68 AH67:AH68">
    <cfRule type="expression" dxfId="439" priority="226">
      <formula>($S67+$X67+$AC67+$AH67)&gt;$I67</formula>
    </cfRule>
  </conditionalFormatting>
  <conditionalFormatting sqref="S70:S73 X70:X73 AC70:AC73 AH70:AH73">
    <cfRule type="expression" dxfId="438" priority="241">
      <formula>($S70+$X70+$AC70+$AH70)&gt;$I70</formula>
    </cfRule>
  </conditionalFormatting>
  <conditionalFormatting sqref="T4:T8 Y4:Y8 AD4:AD8 AI4:AI8">
    <cfRule type="expression" dxfId="437" priority="61">
      <formula>($T4+$Y4+$AD4+$AI4)&gt;$J4</formula>
    </cfRule>
  </conditionalFormatting>
  <conditionalFormatting sqref="T10:T16 Y10:Y16 AD10:AD16 AI10:AI16">
    <cfRule type="expression" dxfId="436" priority="38">
      <formula>($T10+$Y10+$AD10+$AI10)&gt;$J10</formula>
    </cfRule>
  </conditionalFormatting>
  <conditionalFormatting sqref="T18:T20 Y18:Y20 AD18:AD20 AI18:AI20">
    <cfRule type="expression" dxfId="435" priority="102">
      <formula>($T18+$Y18+$AD18+$AI18)&gt;$J18</formula>
    </cfRule>
  </conditionalFormatting>
  <conditionalFormatting sqref="T22:T28 Y22:Y28 AD22:AD28 AI22:AI28">
    <cfRule type="expression" dxfId="434" priority="120">
      <formula>($T22+$Y22+$AD22+$AI22)&gt;$J22</formula>
    </cfRule>
  </conditionalFormatting>
  <conditionalFormatting sqref="T30:T36 Y30:Y36 AD30:AD36 AI30:AI36">
    <cfRule type="expression" dxfId="433" priority="138">
      <formula>($T30+$Y30+$AD30+$AI30)&gt;$J30</formula>
    </cfRule>
  </conditionalFormatting>
  <conditionalFormatting sqref="T38:T45 Y38:Y45 AD38:AD45 AI38:AI45">
    <cfRule type="expression" dxfId="432" priority="156">
      <formula>($T38+$Y38+$AD38+$AI38)&gt;$J38</formula>
    </cfRule>
  </conditionalFormatting>
  <conditionalFormatting sqref="T47:T51 Y47:Y51 AD47:AD51 AI47:AI51">
    <cfRule type="expression" dxfId="431" priority="174">
      <formula>($T47+$Y47+$AD47+$AI47)&gt;$J47</formula>
    </cfRule>
  </conditionalFormatting>
  <conditionalFormatting sqref="T53:T55 Y53:Y55 AD53:AD55 AI53:AI55">
    <cfRule type="expression" dxfId="430" priority="13">
      <formula>($T53+$Y53+$AD53+$AI53)&gt;$J53</formula>
    </cfRule>
  </conditionalFormatting>
  <conditionalFormatting sqref="T57:T59 Y57:Y59 AD57:AD59 AI57:AI59">
    <cfRule type="expression" dxfId="429" priority="192">
      <formula>($T57+$Y57+$AD57+$AI57)&gt;$J57</formula>
    </cfRule>
  </conditionalFormatting>
  <conditionalFormatting sqref="T61:T65 Y61:Y65 AD61:AD65 AI61:AI65">
    <cfRule type="expression" dxfId="428" priority="209">
      <formula>($T61+$Y61+$AD61+$AI61)&gt;$J61</formula>
    </cfRule>
  </conditionalFormatting>
  <conditionalFormatting sqref="T67:T68 Y67:Y68 AD67:AD68 AI67:AI68">
    <cfRule type="expression" dxfId="427" priority="227">
      <formula>($T67+$Y67+$AD67+$AI67)&gt;$J67</formula>
    </cfRule>
  </conditionalFormatting>
  <conditionalFormatting sqref="T70:T73 Y70:Y73 AD70:AD73 AI70:AI73">
    <cfRule type="expression" dxfId="426" priority="242">
      <formula>($T70+$Y70+$AD70+$AI70)&gt;$J70</formula>
    </cfRule>
  </conditionalFormatting>
  <conditionalFormatting sqref="U4:U8 Z4:Z8 AE4:AE8 AJ4:AJ8">
    <cfRule type="expression" dxfId="425" priority="62">
      <formula>($U4+$Z4+$AE4+$AJ4)&gt;$K4</formula>
    </cfRule>
  </conditionalFormatting>
  <conditionalFormatting sqref="U10:U16 Z10:Z16 AE10:AE16 AJ10:AJ16">
    <cfRule type="expression" dxfId="424" priority="39">
      <formula>($U10+$Z10+$AE10+$AJ10)&gt;$K10</formula>
    </cfRule>
  </conditionalFormatting>
  <conditionalFormatting sqref="U18:U20 Z18:Z20 AE18:AE20 AJ18:AJ20">
    <cfRule type="expression" dxfId="423" priority="103">
      <formula>($U18+$Z18+$AE18+$AJ18)&gt;$K18</formula>
    </cfRule>
  </conditionalFormatting>
  <conditionalFormatting sqref="U22:U28 Z22:Z28 AE22:AE28 AJ22:AJ28">
    <cfRule type="expression" dxfId="422" priority="121">
      <formula>($U22+$Z22+$AE22+$AJ22)&gt;$K22</formula>
    </cfRule>
  </conditionalFormatting>
  <conditionalFormatting sqref="U30:U36 Z30:Z36 AE30:AE36 AJ30:AJ36">
    <cfRule type="expression" dxfId="421" priority="139">
      <formula>($U30+$Z30+$AE30+$AJ30)&gt;$K30</formula>
    </cfRule>
  </conditionalFormatting>
  <conditionalFormatting sqref="U38:U45 Z38:Z45 AE38:AE45 AJ38:AJ45">
    <cfRule type="expression" dxfId="420" priority="157">
      <formula>($U38+$Z38+$AE38+$AJ38)&gt;$K38</formula>
    </cfRule>
  </conditionalFormatting>
  <conditionalFormatting sqref="U47:U51 Z47:Z51 AE47:AE51 AJ47:AJ51">
    <cfRule type="expression" dxfId="419" priority="175">
      <formula>($U47+$Z47+$AE47+$AJ47)&gt;$K47</formula>
    </cfRule>
  </conditionalFormatting>
  <conditionalFormatting sqref="U53:U55 Z53:Z55 AE53:AE55 AJ53:AJ55">
    <cfRule type="expression" dxfId="418" priority="14">
      <formula>($U53+$Z53+$AE53+$AJ53)&gt;$K53</formula>
    </cfRule>
  </conditionalFormatting>
  <conditionalFormatting sqref="U57:U59 Z57:Z59 AE57:AE59 AJ57:AJ59">
    <cfRule type="expression" dxfId="417" priority="193">
      <formula>($U57+$Z57+$AE57+$AJ57)&gt;$K57</formula>
    </cfRule>
  </conditionalFormatting>
  <conditionalFormatting sqref="U61:U65 Z61:Z65 AE61:AE65 AJ61:AJ65">
    <cfRule type="expression" dxfId="416" priority="210">
      <formula>($U61+$Z61+$AE61+$AJ61)&gt;$K61</formula>
    </cfRule>
  </conditionalFormatting>
  <conditionalFormatting sqref="U67:U68 Z67:Z68 AE67:AE68 AJ67:AJ68">
    <cfRule type="expression" dxfId="415" priority="228">
      <formula>($U67+$Z67+$AE67+$AJ67)&gt;$K67</formula>
    </cfRule>
  </conditionalFormatting>
  <conditionalFormatting sqref="U70:U73 Z70:Z73 AE70:AE73 AJ70:AJ73">
    <cfRule type="expression" dxfId="414" priority="243">
      <formula>($U70+$Z70+$AE70+$AJ70)&gt;$K70</formula>
    </cfRule>
  </conditionalFormatting>
  <conditionalFormatting sqref="W5 AB5 AG5">
    <cfRule type="expression" dxfId="413" priority="51">
      <formula>(#REF!+$W5+$AB5+$AG5)&gt;$H5</formula>
    </cfRule>
  </conditionalFormatting>
  <conditionalFormatting sqref="AV5 BA5 BF5 BK5 AV7 BA7 BF7 BK7">
    <cfRule type="expression" dxfId="412" priority="55">
      <formula>BZ5&gt;$M5</formula>
    </cfRule>
  </conditionalFormatting>
  <conditionalFormatting sqref="AV61:AX65">
    <cfRule type="containsBlanks" dxfId="411" priority="217" stopIfTrue="1">
      <formula>LEN(TRIM(AV61))=0</formula>
    </cfRule>
  </conditionalFormatting>
  <conditionalFormatting sqref="AV4:AY8 AW29:AY29 BQ4:BU8">
    <cfRule type="containsBlanks" dxfId="410" priority="69" stopIfTrue="1">
      <formula>LEN(TRIM(AV4))=0</formula>
    </cfRule>
  </conditionalFormatting>
  <conditionalFormatting sqref="AV10:AY16">
    <cfRule type="containsBlanks" dxfId="409" priority="46" stopIfTrue="1">
      <formula>LEN(TRIM(AV10))=0</formula>
    </cfRule>
  </conditionalFormatting>
  <conditionalFormatting sqref="AV18:AY20">
    <cfRule type="containsBlanks" dxfId="408" priority="110" stopIfTrue="1">
      <formula>LEN(TRIM(AV18))=0</formula>
    </cfRule>
  </conditionalFormatting>
  <conditionalFormatting sqref="AV22:AY28">
    <cfRule type="containsBlanks" dxfId="407" priority="128" stopIfTrue="1">
      <formula>LEN(TRIM(AV22))=0</formula>
    </cfRule>
  </conditionalFormatting>
  <conditionalFormatting sqref="AV30:AY36">
    <cfRule type="containsBlanks" dxfId="406" priority="146" stopIfTrue="1">
      <formula>LEN(TRIM(AV30))=0</formula>
    </cfRule>
  </conditionalFormatting>
  <conditionalFormatting sqref="AV38:AY45">
    <cfRule type="containsBlanks" dxfId="405" priority="164" stopIfTrue="1">
      <formula>LEN(TRIM(AV38))=0</formula>
    </cfRule>
  </conditionalFormatting>
  <conditionalFormatting sqref="AV47:AY51">
    <cfRule type="containsBlanks" dxfId="404" priority="182" stopIfTrue="1">
      <formula>LEN(TRIM(AV47))=0</formula>
    </cfRule>
  </conditionalFormatting>
  <conditionalFormatting sqref="AV53:AY55">
    <cfRule type="containsBlanks" dxfId="403" priority="25" stopIfTrue="1">
      <formula>LEN(TRIM(AV53))=0</formula>
    </cfRule>
  </conditionalFormatting>
  <conditionalFormatting sqref="AV57:AY59">
    <cfRule type="containsBlanks" dxfId="402" priority="200" stopIfTrue="1">
      <formula>LEN(TRIM(AV57))=0</formula>
    </cfRule>
  </conditionalFormatting>
  <conditionalFormatting sqref="AV67:AY68">
    <cfRule type="containsBlanks" dxfId="401" priority="235" stopIfTrue="1">
      <formula>LEN(TRIM(AV67))=0</formula>
    </cfRule>
  </conditionalFormatting>
  <conditionalFormatting sqref="AV70:AY73">
    <cfRule type="containsBlanks" dxfId="400" priority="250" stopIfTrue="1">
      <formula>LEN(TRIM(AV70))=0</formula>
    </cfRule>
  </conditionalFormatting>
  <conditionalFormatting sqref="AW5 BB5 BG5 BL5 AW7 BB7 BG7 BL7">
    <cfRule type="expression" dxfId="399" priority="52">
      <formula>CA5&gt;$N5</formula>
    </cfRule>
  </conditionalFormatting>
  <conditionalFormatting sqref="AX5 BC5 BH5 AX7 BC7 BH7">
    <cfRule type="expression" dxfId="398" priority="53">
      <formula>CB5&gt;$O5</formula>
    </cfRule>
  </conditionalFormatting>
  <conditionalFormatting sqref="AX63">
    <cfRule type="expression" dxfId="397" priority="213">
      <formula>AY63&gt;$P63</formula>
    </cfRule>
  </conditionalFormatting>
  <conditionalFormatting sqref="AY5 BD5 BI5 AY7 BD7 BI7">
    <cfRule type="expression" dxfId="396" priority="54">
      <formula>CC5&gt;$P5</formula>
    </cfRule>
  </conditionalFormatting>
  <conditionalFormatting sqref="AZ3:AZ73">
    <cfRule type="expression" dxfId="395" priority="18">
      <formula>$AZ3&gt;$Q3</formula>
    </cfRule>
  </conditionalFormatting>
  <conditionalFormatting sqref="BA4:BA8 BK4:BK8 AV4:AV8 BF4:BF8">
    <cfRule type="expression" dxfId="394" priority="67">
      <formula>AV4&gt;$M4</formula>
    </cfRule>
  </conditionalFormatting>
  <conditionalFormatting sqref="BA10:BA16 BK10:BK16 AV10:AV16 BF10:BF16">
    <cfRule type="expression" dxfId="393" priority="44">
      <formula>AV10&gt;$M10</formula>
    </cfRule>
  </conditionalFormatting>
  <conditionalFormatting sqref="BA18:BA20 BK18:BK20 AV18:AV20 BF18:BF20">
    <cfRule type="expression" dxfId="392" priority="108">
      <formula>AV18&gt;$M18</formula>
    </cfRule>
  </conditionalFormatting>
  <conditionalFormatting sqref="BA22:BA28 BK22:BK28 AV22:AV28 BF22:BF28">
    <cfRule type="expression" dxfId="391" priority="126">
      <formula>AV22&gt;$M22</formula>
    </cfRule>
  </conditionalFormatting>
  <conditionalFormatting sqref="BA30:BA36 BK30:BK36 AV30:AV36 BF30:BF36">
    <cfRule type="expression" dxfId="390" priority="144">
      <formula>AV30&gt;$M30</formula>
    </cfRule>
  </conditionalFormatting>
  <conditionalFormatting sqref="BA38:BA45 BK38:BK45 AV38:AV45 BF38:BF45">
    <cfRule type="expression" dxfId="389" priority="162">
      <formula>AV38&gt;$M38</formula>
    </cfRule>
  </conditionalFormatting>
  <conditionalFormatting sqref="BA47:BA51 BK47:BK51 AV47:AV51 BF47:BF51">
    <cfRule type="expression" dxfId="388" priority="180">
      <formula>AV47&gt;$M47</formula>
    </cfRule>
  </conditionalFormatting>
  <conditionalFormatting sqref="BA53:BA55 BK53:BK55 AV53:AV55 BF53:BF55">
    <cfRule type="expression" dxfId="387" priority="21">
      <formula>AV53&gt;$M53</formula>
    </cfRule>
  </conditionalFormatting>
  <conditionalFormatting sqref="BA57:BA59 BK57:BK59 AV57:AV59 BF57:BF59">
    <cfRule type="expression" dxfId="386" priority="198">
      <formula>AV57&gt;$M57</formula>
    </cfRule>
  </conditionalFormatting>
  <conditionalFormatting sqref="BA61:BA65 BK61:BK65 AV61:AV65 BF61:BF65 AW63">
    <cfRule type="expression" dxfId="385" priority="215">
      <formula>AV61&gt;$M61</formula>
    </cfRule>
  </conditionalFormatting>
  <conditionalFormatting sqref="BA67:BA68 BK67:BK68 AV67:AV68 BF67:BF68">
    <cfRule type="expression" dxfId="384" priority="233">
      <formula>AV67&gt;$M67</formula>
    </cfRule>
  </conditionalFormatting>
  <conditionalFormatting sqref="BA70:BA73 BK70:BK73 AV70:AV73 BF70:BF73">
    <cfRule type="expression" dxfId="383" priority="248">
      <formula>AV70&gt;$M70</formula>
    </cfRule>
  </conditionalFormatting>
  <conditionalFormatting sqref="BA61:BC65">
    <cfRule type="containsBlanks" dxfId="382" priority="214">
      <formula>LEN(TRIM(BA61))=0</formula>
    </cfRule>
  </conditionalFormatting>
  <conditionalFormatting sqref="BA4:BD8 BV5:BY5">
    <cfRule type="containsBlanks" dxfId="381" priority="66">
      <formula>LEN(TRIM(BA4))=0</formula>
    </cfRule>
  </conditionalFormatting>
  <conditionalFormatting sqref="BA10:BD16">
    <cfRule type="containsBlanks" dxfId="380" priority="43">
      <formula>LEN(TRIM(BA10))=0</formula>
    </cfRule>
  </conditionalFormatting>
  <conditionalFormatting sqref="BA18:BD20">
    <cfRule type="containsBlanks" dxfId="379" priority="107">
      <formula>LEN(TRIM(BA18))=0</formula>
    </cfRule>
  </conditionalFormatting>
  <conditionalFormatting sqref="BA22:BD28">
    <cfRule type="containsBlanks" dxfId="378" priority="125">
      <formula>LEN(TRIM(BA22))=0</formula>
    </cfRule>
  </conditionalFormatting>
  <conditionalFormatting sqref="BA30:BD36">
    <cfRule type="containsBlanks" dxfId="377" priority="143">
      <formula>LEN(TRIM(BA30))=0</formula>
    </cfRule>
  </conditionalFormatting>
  <conditionalFormatting sqref="BA38:BD45">
    <cfRule type="containsBlanks" dxfId="376" priority="161">
      <formula>LEN(TRIM(BA38))=0</formula>
    </cfRule>
  </conditionalFormatting>
  <conditionalFormatting sqref="BA47:BD51">
    <cfRule type="containsBlanks" dxfId="375" priority="179">
      <formula>LEN(TRIM(BA47))=0</formula>
    </cfRule>
  </conditionalFormatting>
  <conditionalFormatting sqref="BA53:BD55">
    <cfRule type="containsBlanks" dxfId="374" priority="19">
      <formula>LEN(TRIM(BA53))=0</formula>
    </cfRule>
  </conditionalFormatting>
  <conditionalFormatting sqref="BA57:BD59">
    <cfRule type="containsBlanks" dxfId="373" priority="197">
      <formula>LEN(TRIM(BA57))=0</formula>
    </cfRule>
  </conditionalFormatting>
  <conditionalFormatting sqref="BA67:BD68">
    <cfRule type="containsBlanks" dxfId="372" priority="232">
      <formula>LEN(TRIM(BA67))=0</formula>
    </cfRule>
  </conditionalFormatting>
  <conditionalFormatting sqref="BA70:BD73">
    <cfRule type="containsBlanks" dxfId="371" priority="247">
      <formula>LEN(TRIM(BA70))=0</formula>
    </cfRule>
  </conditionalFormatting>
  <conditionalFormatting sqref="BE3:BE73">
    <cfRule type="expression" dxfId="370" priority="20">
      <formula>$BE3&gt;$Q3</formula>
    </cfRule>
  </conditionalFormatting>
  <conditionalFormatting sqref="BF61:BH65">
    <cfRule type="containsBlanks" dxfId="369" priority="216" stopIfTrue="1">
      <formula>LEN(TRIM(BF61))=0</formula>
    </cfRule>
  </conditionalFormatting>
  <conditionalFormatting sqref="BF4:BI8">
    <cfRule type="containsBlanks" dxfId="368" priority="68" stopIfTrue="1">
      <formula>LEN(TRIM(BF4))=0</formula>
    </cfRule>
  </conditionalFormatting>
  <conditionalFormatting sqref="BF10:BI16">
    <cfRule type="containsBlanks" dxfId="367" priority="45" stopIfTrue="1">
      <formula>LEN(TRIM(BF10))=0</formula>
    </cfRule>
  </conditionalFormatting>
  <conditionalFormatting sqref="BF18:BI20">
    <cfRule type="containsBlanks" dxfId="366" priority="109" stopIfTrue="1">
      <formula>LEN(TRIM(BF18))=0</formula>
    </cfRule>
  </conditionalFormatting>
  <conditionalFormatting sqref="BF22:BI28">
    <cfRule type="containsBlanks" dxfId="365" priority="127" stopIfTrue="1">
      <formula>LEN(TRIM(BF22))=0</formula>
    </cfRule>
  </conditionalFormatting>
  <conditionalFormatting sqref="BF30:BI36">
    <cfRule type="containsBlanks" dxfId="364" priority="145" stopIfTrue="1">
      <formula>LEN(TRIM(BF30))=0</formula>
    </cfRule>
  </conditionalFormatting>
  <conditionalFormatting sqref="BF38:BI45">
    <cfRule type="containsBlanks" dxfId="363" priority="163" stopIfTrue="1">
      <formula>LEN(TRIM(BF38))=0</formula>
    </cfRule>
  </conditionalFormatting>
  <conditionalFormatting sqref="BF47:BI51">
    <cfRule type="containsBlanks" dxfId="362" priority="181" stopIfTrue="1">
      <formula>LEN(TRIM(BF47))=0</formula>
    </cfRule>
  </conditionalFormatting>
  <conditionalFormatting sqref="BF53:BI55">
    <cfRule type="containsBlanks" dxfId="361" priority="22" stopIfTrue="1">
      <formula>LEN(TRIM(BF53))=0</formula>
    </cfRule>
  </conditionalFormatting>
  <conditionalFormatting sqref="BF57:BI59">
    <cfRule type="containsBlanks" dxfId="360" priority="199" stopIfTrue="1">
      <formula>LEN(TRIM(BF57))=0</formula>
    </cfRule>
  </conditionalFormatting>
  <conditionalFormatting sqref="BF67:BI68">
    <cfRule type="containsBlanks" dxfId="359" priority="234" stopIfTrue="1">
      <formula>LEN(TRIM(BF67))=0</formula>
    </cfRule>
  </conditionalFormatting>
  <conditionalFormatting sqref="BF70:BI73">
    <cfRule type="containsBlanks" dxfId="358" priority="249" stopIfTrue="1">
      <formula>LEN(TRIM(BF70))=0</formula>
    </cfRule>
  </conditionalFormatting>
  <conditionalFormatting sqref="BJ3:BJ73">
    <cfRule type="expression" dxfId="357" priority="23">
      <formula>$BJ3&gt;$Q3</formula>
    </cfRule>
  </conditionalFormatting>
  <conditionalFormatting sqref="BL4:BL8 AW4:AW8 BB4:BB8 BG4:BG8 AW22:AW36">
    <cfRule type="expression" dxfId="356" priority="63">
      <formula>AW4&gt;$N4</formula>
    </cfRule>
  </conditionalFormatting>
  <conditionalFormatting sqref="BL10:BL16 AW10:AW16 BB10:BB16 BG10:BG16">
    <cfRule type="expression" dxfId="355" priority="40">
      <formula>AW10&gt;$N10</formula>
    </cfRule>
  </conditionalFormatting>
  <conditionalFormatting sqref="BL18:BL20 AW18:AW20 BB18:BB20 BG18:BG20">
    <cfRule type="expression" dxfId="354" priority="104">
      <formula>AW18&gt;$N18</formula>
    </cfRule>
  </conditionalFormatting>
  <conditionalFormatting sqref="BL22:BL28 BB22:BB28 BG22:BG28">
    <cfRule type="expression" dxfId="353" priority="122">
      <formula>BB22&gt;$N22</formula>
    </cfRule>
  </conditionalFormatting>
  <conditionalFormatting sqref="BL30:BL36 BB30:BB36 BG30:BG36">
    <cfRule type="expression" dxfId="352" priority="140">
      <formula>BB30&gt;$N30</formula>
    </cfRule>
  </conditionalFormatting>
  <conditionalFormatting sqref="BL38:BL45 AW38:AW45 BB38:BB45 BG38:BG45">
    <cfRule type="expression" dxfId="351" priority="158">
      <formula>AW38&gt;$N38</formula>
    </cfRule>
  </conditionalFormatting>
  <conditionalFormatting sqref="BL47:BL51 AW47:AW51 BB47:BB51 BG47:BG51">
    <cfRule type="expression" dxfId="350" priority="176">
      <formula>AW47&gt;$N47</formula>
    </cfRule>
  </conditionalFormatting>
  <conditionalFormatting sqref="BL53:BL55 AW53:AW55 BB53:BB55 BG53:BG55">
    <cfRule type="expression" dxfId="349" priority="15">
      <formula>AW53&gt;$N53</formula>
    </cfRule>
  </conditionalFormatting>
  <conditionalFormatting sqref="BL57:BL59 AW57:AW59 BB57:BB59 BG57:BG59">
    <cfRule type="expression" dxfId="348" priority="194">
      <formula>AW57&gt;$N57</formula>
    </cfRule>
  </conditionalFormatting>
  <conditionalFormatting sqref="BL61:BL65 AW61:AW65 BB61:BB65 BG61:BG65">
    <cfRule type="expression" dxfId="347" priority="211">
      <formula>AW61&gt;$N61</formula>
    </cfRule>
  </conditionalFormatting>
  <conditionalFormatting sqref="BL67:BL68 AW67:AW68 BB67:BB68 BG67:BG68">
    <cfRule type="expression" dxfId="346" priority="229">
      <formula>AW67&gt;$N67</formula>
    </cfRule>
  </conditionalFormatting>
  <conditionalFormatting sqref="BL70:BL73 AW70:AW73 BB70:BB73 BG70:BG73">
    <cfRule type="expression" dxfId="345" priority="244">
      <formula>AW70&gt;$N70</formula>
    </cfRule>
  </conditionalFormatting>
  <conditionalFormatting sqref="BM4:BM8 AX4:AX8 BC4:BC8 BH4:BH8 AX22:AX36">
    <cfRule type="expression" dxfId="344" priority="64">
      <formula>AX4&gt;$O4</formula>
    </cfRule>
  </conditionalFormatting>
  <conditionalFormatting sqref="BM5 BM7">
    <cfRule type="expression" dxfId="343" priority="252">
      <formula>#REF!&gt;$O5</formula>
    </cfRule>
  </conditionalFormatting>
  <conditionalFormatting sqref="BM10:BM16 AX10:AX16 BC10:BC16 BH10:BH16">
    <cfRule type="expression" dxfId="342" priority="41">
      <formula>AX10&gt;$O10</formula>
    </cfRule>
  </conditionalFormatting>
  <conditionalFormatting sqref="BM18:BM20 AX18:AX20 BC18:BC20 BH18:BH20">
    <cfRule type="expression" dxfId="341" priority="105">
      <formula>AX18&gt;$O18</formula>
    </cfRule>
  </conditionalFormatting>
  <conditionalFormatting sqref="BM22:BM28 BC22:BC28 BH22:BH28">
    <cfRule type="expression" dxfId="340" priority="123">
      <formula>BC22&gt;$O22</formula>
    </cfRule>
  </conditionalFormatting>
  <conditionalFormatting sqref="BM30:BM36 BC30:BC36 BH30:BH36">
    <cfRule type="expression" dxfId="339" priority="141">
      <formula>BC30&gt;$O30</formula>
    </cfRule>
  </conditionalFormatting>
  <conditionalFormatting sqref="BM38:BM45 AX38:AX45 BC38:BC45 BH38:BH45">
    <cfRule type="expression" dxfId="338" priority="159">
      <formula>AX38&gt;$O38</formula>
    </cfRule>
  </conditionalFormatting>
  <conditionalFormatting sqref="BM47:BM51 AX47:AX51 BC47:BC51 BH47:BH51">
    <cfRule type="expression" dxfId="337" priority="177">
      <formula>AX47&gt;$O47</formula>
    </cfRule>
  </conditionalFormatting>
  <conditionalFormatting sqref="BM53:BM55 AX53:AX55 BC53:BC55 BH53:BH55">
    <cfRule type="expression" dxfId="336" priority="16">
      <formula>AX53&gt;$O53</formula>
    </cfRule>
  </conditionalFormatting>
  <conditionalFormatting sqref="BM57:BM59 AX57:AX59 BC57:BC59 BH57:BH59">
    <cfRule type="expression" dxfId="335" priority="195">
      <formula>AX57&gt;$O57</formula>
    </cfRule>
  </conditionalFormatting>
  <conditionalFormatting sqref="BM61:BM65 AX61:AX65 BC61:BC65 BH61:BH65 AW63">
    <cfRule type="expression" dxfId="334" priority="212">
      <formula>AX61&gt;$O61</formula>
    </cfRule>
  </conditionalFormatting>
  <conditionalFormatting sqref="BM67:BM68 AX67:AX68 BC67:BC68 BH67:BH68">
    <cfRule type="expression" dxfId="333" priority="230">
      <formula>AX67&gt;$O67</formula>
    </cfRule>
  </conditionalFormatting>
  <conditionalFormatting sqref="BM70:BM73 AX70:AX73 BC70:BC73 BH70:BH73">
    <cfRule type="expression" dxfId="332" priority="245">
      <formula>AX70&gt;$O70</formula>
    </cfRule>
  </conditionalFormatting>
  <conditionalFormatting sqref="BN4:BN8 AY4:AY8 BD4:BD8 BI4:BI8 AY22:AY36">
    <cfRule type="expression" dxfId="331" priority="65">
      <formula>AY4&gt;$P4</formula>
    </cfRule>
  </conditionalFormatting>
  <conditionalFormatting sqref="BN5 BN7">
    <cfRule type="expression" dxfId="330" priority="253">
      <formula>CQ5&gt;$P5</formula>
    </cfRule>
  </conditionalFormatting>
  <conditionalFormatting sqref="BN10:BN16 AY10:AY16 BD10:BD16 BI10:BI16">
    <cfRule type="expression" dxfId="329" priority="42">
      <formula>AY10&gt;$P10</formula>
    </cfRule>
  </conditionalFormatting>
  <conditionalFormatting sqref="BN18:BN20 AY18:AY20 BD18:BD20 BI18:BI20">
    <cfRule type="expression" dxfId="328" priority="106">
      <formula>AY18&gt;$P18</formula>
    </cfRule>
  </conditionalFormatting>
  <conditionalFormatting sqref="BN22:BN28 BD22:BD28 BI22:BI28">
    <cfRule type="expression" dxfId="327" priority="124">
      <formula>BD22&gt;$P22</formula>
    </cfRule>
  </conditionalFormatting>
  <conditionalFormatting sqref="BN30:BN36 BD30:BD36 BI30:BI36">
    <cfRule type="expression" dxfId="326" priority="142">
      <formula>BD30&gt;$P30</formula>
    </cfRule>
  </conditionalFormatting>
  <conditionalFormatting sqref="BN38:BN45 AY38:AY45 BD38:BD45 BI38:BI45">
    <cfRule type="expression" dxfId="325" priority="160">
      <formula>AY38&gt;$P38</formula>
    </cfRule>
  </conditionalFormatting>
  <conditionalFormatting sqref="BN47:BN51 AY47:AY51 BD47:BD51 BI47:BI51">
    <cfRule type="expression" dxfId="324" priority="178">
      <formula>AY47&gt;$P47</formula>
    </cfRule>
  </conditionalFormatting>
  <conditionalFormatting sqref="BN53:BN55 AY53:AY55 BD53:BD55 BI53:BI55">
    <cfRule type="expression" dxfId="323" priority="17">
      <formula>AY53&gt;$P53</formula>
    </cfRule>
  </conditionalFormatting>
  <conditionalFormatting sqref="BN57:BN59 AY57:AY59 BD57:BD59 BI57:BI59">
    <cfRule type="expression" dxfId="322" priority="196">
      <formula>AY57&gt;$P57</formula>
    </cfRule>
  </conditionalFormatting>
  <conditionalFormatting sqref="BN67:BN68 AY67:AY68 BD67:BD68 BI67:BI68">
    <cfRule type="expression" dxfId="321" priority="231">
      <formula>AY67&gt;$P67</formula>
    </cfRule>
  </conditionalFormatting>
  <conditionalFormatting sqref="BN70:BN73 AY70:AY73 BD70:BD73 BI70:BI73">
    <cfRule type="expression" dxfId="320" priority="246">
      <formula>AY70&gt;$P70</formula>
    </cfRule>
  </conditionalFormatting>
  <conditionalFormatting sqref="BO3:BO73">
    <cfRule type="expression" dxfId="319" priority="24">
      <formula>$BO3&gt;$Q3</formula>
    </cfRule>
  </conditionalFormatting>
  <conditionalFormatting sqref="BQ9:BU9">
    <cfRule type="expression" dxfId="318" priority="73">
      <formula>BQ9&gt;100%</formula>
    </cfRule>
    <cfRule type="containsBlanks" dxfId="317" priority="74" stopIfTrue="1">
      <formula>LEN(TRIM(BQ9))=0</formula>
    </cfRule>
  </conditionalFormatting>
  <conditionalFormatting sqref="BQ10:BU16">
    <cfRule type="containsBlanks" dxfId="316" priority="47" stopIfTrue="1">
      <formula>LEN(TRIM(BQ10))=0</formula>
    </cfRule>
  </conditionalFormatting>
  <conditionalFormatting sqref="BQ18:BU20">
    <cfRule type="containsBlanks" dxfId="315" priority="111" stopIfTrue="1">
      <formula>LEN(TRIM(BQ18))=0</formula>
    </cfRule>
  </conditionalFormatting>
  <conditionalFormatting sqref="BQ22:BU28">
    <cfRule type="containsBlanks" dxfId="314" priority="129" stopIfTrue="1">
      <formula>LEN(TRIM(BQ22))=0</formula>
    </cfRule>
  </conditionalFormatting>
  <conditionalFormatting sqref="BQ30:BU36">
    <cfRule type="containsBlanks" dxfId="313" priority="147" stopIfTrue="1">
      <formula>LEN(TRIM(BQ30))=0</formula>
    </cfRule>
  </conditionalFormatting>
  <conditionalFormatting sqref="BQ38:BU45">
    <cfRule type="containsBlanks" dxfId="312" priority="165" stopIfTrue="1">
      <formula>LEN(TRIM(BQ38))=0</formula>
    </cfRule>
  </conditionalFormatting>
  <conditionalFormatting sqref="BQ47:BU51">
    <cfRule type="containsBlanks" dxfId="311" priority="183" stopIfTrue="1">
      <formula>LEN(TRIM(BQ47))=0</formula>
    </cfRule>
  </conditionalFormatting>
  <conditionalFormatting sqref="BQ53:BU55">
    <cfRule type="containsBlanks" dxfId="310" priority="27" stopIfTrue="1">
      <formula>LEN(TRIM(BQ53))=0</formula>
    </cfRule>
  </conditionalFormatting>
  <conditionalFormatting sqref="BQ57:BU59">
    <cfRule type="containsBlanks" dxfId="309" priority="201" stopIfTrue="1">
      <formula>LEN(TRIM(BQ57))=0</formula>
    </cfRule>
  </conditionalFormatting>
  <conditionalFormatting sqref="BQ61:BU65">
    <cfRule type="containsBlanks" dxfId="308" priority="218" stopIfTrue="1">
      <formula>LEN(TRIM(BQ61))=0</formula>
    </cfRule>
  </conditionalFormatting>
  <conditionalFormatting sqref="BQ67:BU73">
    <cfRule type="containsBlanks" dxfId="307" priority="70" stopIfTrue="1">
      <formula>LEN(TRIM(BQ67))=0</formula>
    </cfRule>
  </conditionalFormatting>
  <conditionalFormatting sqref="BQ3:BY3">
    <cfRule type="expression" dxfId="305" priority="93">
      <formula>BQ3&gt;100%</formula>
    </cfRule>
    <cfRule type="containsBlanks" dxfId="306" priority="94" stopIfTrue="1">
      <formula>LEN(TRIM(BQ3))=0</formula>
    </cfRule>
  </conditionalFormatting>
  <conditionalFormatting sqref="BQ17:BY17">
    <cfRule type="expression" dxfId="303" priority="75">
      <formula>BQ17&gt;100%</formula>
    </cfRule>
    <cfRule type="containsBlanks" dxfId="304" priority="76" stopIfTrue="1">
      <formula>LEN(TRIM(BQ17))=0</formula>
    </cfRule>
  </conditionalFormatting>
  <conditionalFormatting sqref="BQ21:BY21">
    <cfRule type="expression" dxfId="302" priority="77">
      <formula>BQ21&gt;100%</formula>
    </cfRule>
    <cfRule type="containsBlanks" dxfId="301" priority="78" stopIfTrue="1">
      <formula>LEN(TRIM(BQ21))=0</formula>
    </cfRule>
  </conditionalFormatting>
  <conditionalFormatting sqref="BQ29:BY29">
    <cfRule type="expression" dxfId="299" priority="79">
      <formula>BQ29&gt;100%</formula>
    </cfRule>
    <cfRule type="containsBlanks" dxfId="300" priority="80" stopIfTrue="1">
      <formula>LEN(TRIM(BQ29))=0</formula>
    </cfRule>
  </conditionalFormatting>
  <conditionalFormatting sqref="BQ37:BY37">
    <cfRule type="expression" dxfId="297" priority="81">
      <formula>BQ37&gt;100%</formula>
    </cfRule>
    <cfRule type="containsBlanks" dxfId="298" priority="82" stopIfTrue="1">
      <formula>LEN(TRIM(BQ37))=0</formula>
    </cfRule>
  </conditionalFormatting>
  <conditionalFormatting sqref="BQ46:BY46">
    <cfRule type="expression" dxfId="296" priority="83">
      <formula>BQ46&gt;100%</formula>
    </cfRule>
    <cfRule type="containsBlanks" dxfId="295" priority="84" stopIfTrue="1">
      <formula>LEN(TRIM(BQ46))=0</formula>
    </cfRule>
  </conditionalFormatting>
  <conditionalFormatting sqref="BQ52:BY52">
    <cfRule type="expression" dxfId="293" priority="85">
      <formula>BQ52&gt;100%</formula>
    </cfRule>
    <cfRule type="containsBlanks" dxfId="294" priority="86" stopIfTrue="1">
      <formula>LEN(TRIM(BQ52))=0</formula>
    </cfRule>
  </conditionalFormatting>
  <conditionalFormatting sqref="BQ56:BY56">
    <cfRule type="expression" dxfId="291" priority="87">
      <formula>BQ56&gt;100%</formula>
    </cfRule>
    <cfRule type="containsBlanks" dxfId="292" priority="88" stopIfTrue="1">
      <formula>LEN(TRIM(BQ56))=0</formula>
    </cfRule>
  </conditionalFormatting>
  <conditionalFormatting sqref="BQ60:BY60">
    <cfRule type="expression" dxfId="289" priority="89">
      <formula>BQ60&gt;100%</formula>
    </cfRule>
    <cfRule type="containsBlanks" dxfId="290" priority="90" stopIfTrue="1">
      <formula>LEN(TRIM(BQ60))=0</formula>
    </cfRule>
  </conditionalFormatting>
  <conditionalFormatting sqref="BQ66:BY66">
    <cfRule type="expression" dxfId="287" priority="91">
      <formula>BQ66&gt;100%</formula>
    </cfRule>
    <cfRule type="containsBlanks" dxfId="288" priority="92" stopIfTrue="1">
      <formula>LEN(TRIM(BQ66))=0</formula>
    </cfRule>
  </conditionalFormatting>
  <conditionalFormatting sqref="BT10:BY16">
    <cfRule type="expression" dxfId="286" priority="48">
      <formula>BT10&gt;100%</formula>
    </cfRule>
  </conditionalFormatting>
  <conditionalFormatting sqref="BT18:BY20">
    <cfRule type="expression" dxfId="285" priority="112">
      <formula>BT18&gt;100%</formula>
    </cfRule>
  </conditionalFormatting>
  <conditionalFormatting sqref="BT22:BY28">
    <cfRule type="expression" dxfId="284" priority="130">
      <formula>BT22&gt;100%</formula>
    </cfRule>
  </conditionalFormatting>
  <conditionalFormatting sqref="BT30:BY36">
    <cfRule type="expression" dxfId="283" priority="148">
      <formula>BT30&gt;100%</formula>
    </cfRule>
  </conditionalFormatting>
  <conditionalFormatting sqref="BT38:BY45">
    <cfRule type="expression" dxfId="282" priority="166">
      <formula>BT38&gt;100%</formula>
    </cfRule>
  </conditionalFormatting>
  <conditionalFormatting sqref="BT47:BY51">
    <cfRule type="expression" dxfId="281" priority="184">
      <formula>BT47&gt;100%</formula>
    </cfRule>
  </conditionalFormatting>
  <conditionalFormatting sqref="BT53:BY55 CF3:CI73 CA3:CD73">
    <cfRule type="expression" dxfId="280" priority="28">
      <formula>BT3&gt;100%</formula>
    </cfRule>
  </conditionalFormatting>
  <conditionalFormatting sqref="BT57:BY59">
    <cfRule type="expression" dxfId="279" priority="202">
      <formula>BT57&gt;100%</formula>
    </cfRule>
  </conditionalFormatting>
  <conditionalFormatting sqref="BT61:BY65">
    <cfRule type="expression" dxfId="278" priority="219">
      <formula>BT61&gt;100%</formula>
    </cfRule>
  </conditionalFormatting>
  <conditionalFormatting sqref="BT67:BY73 BT4:BU8 BV4:BY9">
    <cfRule type="expression" dxfId="277" priority="71">
      <formula>BT4&gt;100%</formula>
    </cfRule>
  </conditionalFormatting>
  <conditionalFormatting sqref="BV4:BY13 BV67:BY73">
    <cfRule type="containsBlanks" dxfId="276" priority="72" stopIfTrue="1">
      <formula>LEN(TRIM(BV4))=0</formula>
    </cfRule>
  </conditionalFormatting>
  <conditionalFormatting sqref="BV14:BY16">
    <cfRule type="containsBlanks" dxfId="275" priority="49" stopIfTrue="1">
      <formula>LEN(TRIM(BV14))=0</formula>
    </cfRule>
  </conditionalFormatting>
  <conditionalFormatting sqref="BV18:BY20">
    <cfRule type="containsBlanks" dxfId="274" priority="113" stopIfTrue="1">
      <formula>LEN(TRIM(BV18))=0</formula>
    </cfRule>
  </conditionalFormatting>
  <conditionalFormatting sqref="BV22:BY28">
    <cfRule type="containsBlanks" dxfId="273" priority="131" stopIfTrue="1">
      <formula>LEN(TRIM(BV22))=0</formula>
    </cfRule>
  </conditionalFormatting>
  <conditionalFormatting sqref="BV30:BY36">
    <cfRule type="containsBlanks" dxfId="272" priority="149" stopIfTrue="1">
      <formula>LEN(TRIM(BV30))=0</formula>
    </cfRule>
  </conditionalFormatting>
  <conditionalFormatting sqref="BV38:BY45">
    <cfRule type="containsBlanks" dxfId="271" priority="167" stopIfTrue="1">
      <formula>LEN(TRIM(BV38))=0</formula>
    </cfRule>
  </conditionalFormatting>
  <conditionalFormatting sqref="BV47:BY51">
    <cfRule type="containsBlanks" dxfId="270" priority="185" stopIfTrue="1">
      <formula>LEN(TRIM(BV47))=0</formula>
    </cfRule>
  </conditionalFormatting>
  <conditionalFormatting sqref="BV53:BY55">
    <cfRule type="containsBlanks" dxfId="269" priority="29" stopIfTrue="1">
      <formula>LEN(TRIM(BV53))=0</formula>
    </cfRule>
  </conditionalFormatting>
  <conditionalFormatting sqref="BV57:BY59">
    <cfRule type="containsBlanks" dxfId="268" priority="203" stopIfTrue="1">
      <formula>LEN(TRIM(BV57))=0</formula>
    </cfRule>
  </conditionalFormatting>
  <conditionalFormatting sqref="BV61:BY65">
    <cfRule type="containsBlanks" dxfId="267" priority="220" stopIfTrue="1">
      <formula>LEN(TRIM(BV61))=0</formula>
    </cfRule>
  </conditionalFormatting>
  <conditionalFormatting sqref="CA3:CD73">
    <cfRule type="containsBlanks" dxfId="266" priority="30" stopIfTrue="1">
      <formula>LEN(TRIM(CA3))=0</formula>
    </cfRule>
  </conditionalFormatting>
  <conditionalFormatting sqref="CF3:CI73">
    <cfRule type="containsBlanks" dxfId="265" priority="26" stopIfTrue="1">
      <formula>LEN(TRIM(CF3))=0</formula>
    </cfRule>
  </conditionalFormatting>
  <conditionalFormatting sqref="CK3:CN73">
    <cfRule type="containsBlanks" dxfId="264" priority="31">
      <formula>LEN(TRIM(CK3))=0</formula>
    </cfRule>
  </conditionalFormatting>
  <conditionalFormatting sqref="CP3:CP74">
    <cfRule type="expression" dxfId="259" priority="1" stopIfTrue="1">
      <formula>CO3=""</formula>
    </cfRule>
    <cfRule type="expression" dxfId="263" priority="2">
      <formula>$CO3&gt;=70%</formula>
    </cfRule>
    <cfRule type="expression" dxfId="262" priority="3">
      <formula>AND($CO3&gt;=60%,$CO3&lt;70%)</formula>
    </cfRule>
    <cfRule type="expression" dxfId="261" priority="4">
      <formula>AND($CO3&gt;=50%,$CO3&lt;60%)</formula>
    </cfRule>
    <cfRule type="expression" dxfId="260" priority="5">
      <formula>OR(LEN(TRIM($CO3))=0, AND(ISNUMBER($CO3), $CO3&lt;50%))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0BCA-E75F-4661-B4E4-02D33D35CE76}">
  <dimension ref="A1:CP996"/>
  <sheetViews>
    <sheetView tabSelected="1" workbookViewId="0">
      <selection sqref="A1:XFD1048576"/>
    </sheetView>
  </sheetViews>
  <sheetFormatPr baseColWidth="10" defaultColWidth="14.44140625" defaultRowHeight="14.4" x14ac:dyDescent="0.3"/>
  <cols>
    <col min="1" max="1" width="7.6640625" style="18" customWidth="1"/>
    <col min="2" max="3" width="29.6640625" style="18" customWidth="1"/>
    <col min="4" max="4" width="16.33203125" style="18" customWidth="1"/>
    <col min="5" max="7" width="11.33203125" style="18" customWidth="1"/>
    <col min="8" max="11" width="8.44140625" style="18" customWidth="1"/>
    <col min="12" max="12" width="10.6640625" style="18" customWidth="1"/>
    <col min="13" max="16" width="8.44140625" style="18" customWidth="1"/>
    <col min="17" max="17" width="10.44140625" style="18" customWidth="1"/>
    <col min="18" max="26" width="8.44140625" style="18" customWidth="1"/>
    <col min="27" max="28" width="9.5546875" style="18" customWidth="1"/>
    <col min="29" max="36" width="8.44140625" style="18" customWidth="1"/>
    <col min="37" max="37" width="11.6640625" style="18" customWidth="1"/>
    <col min="38" max="47" width="6.5546875" style="18" customWidth="1"/>
    <col min="48" max="51" width="8" style="18" customWidth="1"/>
    <col min="52" max="52" width="11" style="18" customWidth="1"/>
    <col min="53" max="56" width="8" style="18" customWidth="1"/>
    <col min="57" max="57" width="10.6640625" style="18" customWidth="1"/>
    <col min="58" max="61" width="8" style="18" customWidth="1"/>
    <col min="62" max="62" width="9.33203125" style="18" customWidth="1"/>
    <col min="63" max="66" width="8" style="18" customWidth="1"/>
    <col min="67" max="67" width="10.33203125" style="18" customWidth="1"/>
    <col min="68" max="68" width="0.88671875" style="18" customWidth="1"/>
    <col min="69" max="93" width="8.33203125" style="18" customWidth="1"/>
    <col min="94" max="16384" width="14.44140625" style="18"/>
  </cols>
  <sheetData>
    <row r="1" spans="1:94" ht="42" customHeight="1" x14ac:dyDescent="0.3">
      <c r="A1" s="1" t="s">
        <v>132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5"/>
      <c r="L1" s="6"/>
      <c r="M1" s="3" t="s">
        <v>2</v>
      </c>
      <c r="N1" s="4"/>
      <c r="O1" s="4"/>
      <c r="P1" s="5"/>
      <c r="Q1" s="6"/>
      <c r="R1" s="7" t="s">
        <v>3</v>
      </c>
      <c r="S1" s="4"/>
      <c r="T1" s="4"/>
      <c r="U1" s="4"/>
      <c r="V1" s="5"/>
      <c r="W1" s="7" t="s">
        <v>4</v>
      </c>
      <c r="X1" s="4"/>
      <c r="Y1" s="4"/>
      <c r="Z1" s="4"/>
      <c r="AA1" s="5"/>
      <c r="AB1" s="7" t="s">
        <v>5</v>
      </c>
      <c r="AC1" s="4"/>
      <c r="AD1" s="4"/>
      <c r="AE1" s="4"/>
      <c r="AF1" s="5"/>
      <c r="AG1" s="7" t="s">
        <v>6</v>
      </c>
      <c r="AH1" s="4"/>
      <c r="AI1" s="4"/>
      <c r="AJ1" s="4"/>
      <c r="AK1" s="5"/>
      <c r="AL1" s="8" t="s">
        <v>7</v>
      </c>
      <c r="AM1" s="4"/>
      <c r="AN1" s="4"/>
      <c r="AO1" s="4"/>
      <c r="AP1" s="5"/>
      <c r="AQ1" s="8" t="s">
        <v>8</v>
      </c>
      <c r="AR1" s="4"/>
      <c r="AS1" s="4"/>
      <c r="AT1" s="4"/>
      <c r="AU1" s="5"/>
      <c r="AV1" s="3" t="s">
        <v>9</v>
      </c>
      <c r="AW1" s="4"/>
      <c r="AX1" s="4"/>
      <c r="AY1" s="4"/>
      <c r="AZ1" s="5"/>
      <c r="BA1" s="9" t="s">
        <v>10</v>
      </c>
      <c r="BB1" s="4"/>
      <c r="BC1" s="4"/>
      <c r="BD1" s="4"/>
      <c r="BE1" s="5"/>
      <c r="BF1" s="10" t="s">
        <v>11</v>
      </c>
      <c r="BG1" s="4"/>
      <c r="BH1" s="4"/>
      <c r="BI1" s="4"/>
      <c r="BJ1" s="5"/>
      <c r="BK1" s="7" t="s">
        <v>12</v>
      </c>
      <c r="BL1" s="4"/>
      <c r="BM1" s="4"/>
      <c r="BN1" s="4"/>
      <c r="BO1" s="4"/>
      <c r="BP1" s="11"/>
      <c r="BQ1" s="12" t="s">
        <v>13</v>
      </c>
      <c r="BR1" s="4"/>
      <c r="BS1" s="4"/>
      <c r="BT1" s="4"/>
      <c r="BU1" s="5"/>
      <c r="BV1" s="13" t="s">
        <v>14</v>
      </c>
      <c r="BW1" s="4"/>
      <c r="BX1" s="4"/>
      <c r="BY1" s="4"/>
      <c r="BZ1" s="5"/>
      <c r="CA1" s="14" t="s">
        <v>15</v>
      </c>
      <c r="CB1" s="4"/>
      <c r="CC1" s="4"/>
      <c r="CD1" s="4"/>
      <c r="CE1" s="5"/>
      <c r="CF1" s="15" t="s">
        <v>16</v>
      </c>
      <c r="CG1" s="4"/>
      <c r="CH1" s="4"/>
      <c r="CI1" s="4"/>
      <c r="CJ1" s="5"/>
      <c r="CK1" s="16" t="s">
        <v>17</v>
      </c>
      <c r="CL1" s="4"/>
      <c r="CM1" s="4"/>
      <c r="CN1" s="4"/>
      <c r="CO1" s="4"/>
      <c r="CP1" s="17" t="s">
        <v>18</v>
      </c>
    </row>
    <row r="2" spans="1:94" ht="42" customHeight="1" x14ac:dyDescent="0.3">
      <c r="A2" s="19" t="s">
        <v>19</v>
      </c>
      <c r="B2" s="19" t="s">
        <v>20</v>
      </c>
      <c r="C2" s="19" t="s">
        <v>21</v>
      </c>
      <c r="D2" s="19" t="s">
        <v>133</v>
      </c>
      <c r="E2" s="19" t="s">
        <v>23</v>
      </c>
      <c r="F2" s="19" t="s">
        <v>24</v>
      </c>
      <c r="G2" s="19" t="s">
        <v>25</v>
      </c>
      <c r="H2" s="20" t="s">
        <v>26</v>
      </c>
      <c r="I2" s="20" t="s">
        <v>27</v>
      </c>
      <c r="J2" s="20" t="s">
        <v>28</v>
      </c>
      <c r="K2" s="20" t="s">
        <v>29</v>
      </c>
      <c r="L2" s="21" t="s">
        <v>30</v>
      </c>
      <c r="M2" s="20" t="s">
        <v>26</v>
      </c>
      <c r="N2" s="20" t="s">
        <v>27</v>
      </c>
      <c r="O2" s="20" t="s">
        <v>28</v>
      </c>
      <c r="P2" s="20" t="s">
        <v>29</v>
      </c>
      <c r="Q2" s="20" t="s">
        <v>31</v>
      </c>
      <c r="R2" s="22" t="s">
        <v>26</v>
      </c>
      <c r="S2" s="22" t="s">
        <v>27</v>
      </c>
      <c r="T2" s="22" t="s">
        <v>28</v>
      </c>
      <c r="U2" s="22" t="s">
        <v>29</v>
      </c>
      <c r="V2" s="22" t="s">
        <v>32</v>
      </c>
      <c r="W2" s="22" t="s">
        <v>26</v>
      </c>
      <c r="X2" s="22" t="s">
        <v>27</v>
      </c>
      <c r="Y2" s="22" t="s">
        <v>28</v>
      </c>
      <c r="Z2" s="22" t="s">
        <v>29</v>
      </c>
      <c r="AA2" s="22" t="s">
        <v>32</v>
      </c>
      <c r="AB2" s="22" t="s">
        <v>26</v>
      </c>
      <c r="AC2" s="22" t="s">
        <v>27</v>
      </c>
      <c r="AD2" s="22" t="s">
        <v>28</v>
      </c>
      <c r="AE2" s="22" t="s">
        <v>29</v>
      </c>
      <c r="AF2" s="22" t="s">
        <v>32</v>
      </c>
      <c r="AG2" s="22" t="s">
        <v>26</v>
      </c>
      <c r="AH2" s="22" t="s">
        <v>27</v>
      </c>
      <c r="AI2" s="22" t="s">
        <v>28</v>
      </c>
      <c r="AJ2" s="22" t="s">
        <v>29</v>
      </c>
      <c r="AK2" s="22" t="s">
        <v>32</v>
      </c>
      <c r="AL2" s="23" t="s">
        <v>26</v>
      </c>
      <c r="AM2" s="23" t="s">
        <v>27</v>
      </c>
      <c r="AN2" s="23" t="s">
        <v>28</v>
      </c>
      <c r="AO2" s="23" t="s">
        <v>29</v>
      </c>
      <c r="AP2" s="23" t="s">
        <v>32</v>
      </c>
      <c r="AQ2" s="23" t="s">
        <v>26</v>
      </c>
      <c r="AR2" s="23" t="s">
        <v>27</v>
      </c>
      <c r="AS2" s="23" t="s">
        <v>28</v>
      </c>
      <c r="AT2" s="23" t="s">
        <v>29</v>
      </c>
      <c r="AU2" s="23" t="s">
        <v>32</v>
      </c>
      <c r="AV2" s="20" t="s">
        <v>26</v>
      </c>
      <c r="AW2" s="20" t="s">
        <v>27</v>
      </c>
      <c r="AX2" s="20" t="s">
        <v>28</v>
      </c>
      <c r="AY2" s="20" t="s">
        <v>29</v>
      </c>
      <c r="AZ2" s="20" t="s">
        <v>32</v>
      </c>
      <c r="BA2" s="24" t="s">
        <v>26</v>
      </c>
      <c r="BB2" s="24" t="s">
        <v>27</v>
      </c>
      <c r="BC2" s="24" t="s">
        <v>28</v>
      </c>
      <c r="BD2" s="24" t="s">
        <v>29</v>
      </c>
      <c r="BE2" s="24" t="s">
        <v>32</v>
      </c>
      <c r="BF2" s="25" t="s">
        <v>26</v>
      </c>
      <c r="BG2" s="25" t="s">
        <v>27</v>
      </c>
      <c r="BH2" s="25" t="s">
        <v>28</v>
      </c>
      <c r="BI2" s="25" t="s">
        <v>29</v>
      </c>
      <c r="BJ2" s="25" t="s">
        <v>32</v>
      </c>
      <c r="BK2" s="22" t="s">
        <v>26</v>
      </c>
      <c r="BL2" s="22" t="s">
        <v>27</v>
      </c>
      <c r="BM2" s="22" t="s">
        <v>28</v>
      </c>
      <c r="BN2" s="22" t="s">
        <v>29</v>
      </c>
      <c r="BO2" s="26" t="s">
        <v>32</v>
      </c>
      <c r="BP2" s="27"/>
      <c r="BQ2" s="28" t="s">
        <v>26</v>
      </c>
      <c r="BR2" s="29" t="s">
        <v>27</v>
      </c>
      <c r="BS2" s="29" t="s">
        <v>28</v>
      </c>
      <c r="BT2" s="29" t="s">
        <v>29</v>
      </c>
      <c r="BU2" s="29" t="s">
        <v>32</v>
      </c>
      <c r="BV2" s="30" t="s">
        <v>26</v>
      </c>
      <c r="BW2" s="30" t="s">
        <v>27</v>
      </c>
      <c r="BX2" s="30" t="s">
        <v>28</v>
      </c>
      <c r="BY2" s="30" t="s">
        <v>29</v>
      </c>
      <c r="BZ2" s="30" t="s">
        <v>32</v>
      </c>
      <c r="CA2" s="31" t="s">
        <v>26</v>
      </c>
      <c r="CB2" s="31" t="s">
        <v>27</v>
      </c>
      <c r="CC2" s="31" t="s">
        <v>28</v>
      </c>
      <c r="CD2" s="31" t="s">
        <v>29</v>
      </c>
      <c r="CE2" s="31" t="s">
        <v>32</v>
      </c>
      <c r="CF2" s="32" t="s">
        <v>26</v>
      </c>
      <c r="CG2" s="32" t="s">
        <v>27</v>
      </c>
      <c r="CH2" s="32" t="s">
        <v>28</v>
      </c>
      <c r="CI2" s="32" t="s">
        <v>29</v>
      </c>
      <c r="CJ2" s="32" t="s">
        <v>32</v>
      </c>
      <c r="CK2" s="33" t="s">
        <v>26</v>
      </c>
      <c r="CL2" s="33" t="s">
        <v>27</v>
      </c>
      <c r="CM2" s="33" t="s">
        <v>28</v>
      </c>
      <c r="CN2" s="33" t="s">
        <v>29</v>
      </c>
      <c r="CO2" s="34" t="s">
        <v>32</v>
      </c>
      <c r="CP2" s="35"/>
    </row>
    <row r="3" spans="1:94" ht="30.75" customHeight="1" x14ac:dyDescent="0.3">
      <c r="A3" s="36" t="s">
        <v>33</v>
      </c>
      <c r="B3" s="37"/>
      <c r="C3" s="38"/>
      <c r="D3" s="39"/>
      <c r="E3" s="40">
        <f t="shared" ref="E3:F3" si="0">SUM(E4:E8)</f>
        <v>1269</v>
      </c>
      <c r="F3" s="40">
        <f t="shared" si="0"/>
        <v>1211</v>
      </c>
      <c r="G3" s="41">
        <f t="shared" ref="G3:G74" si="1">IFERROR(+F3/E3,"")</f>
        <v>0.95429472025216711</v>
      </c>
      <c r="H3" s="40">
        <f t="shared" ref="H3:K3" si="2">SUM(H4:H8)</f>
        <v>41791</v>
      </c>
      <c r="I3" s="40">
        <f t="shared" si="2"/>
        <v>37541</v>
      </c>
      <c r="J3" s="40">
        <f t="shared" si="2"/>
        <v>29537</v>
      </c>
      <c r="K3" s="40">
        <f t="shared" si="2"/>
        <v>21594</v>
      </c>
      <c r="L3" s="42">
        <f t="shared" ref="L3:L73" si="3">SUM(H3:K3)</f>
        <v>130463</v>
      </c>
      <c r="M3" s="40">
        <f t="shared" ref="M3:P3" si="4">SUM(M4:M8)</f>
        <v>39277</v>
      </c>
      <c r="N3" s="40">
        <f t="shared" si="4"/>
        <v>35595</v>
      </c>
      <c r="O3" s="40">
        <f t="shared" si="4"/>
        <v>27201</v>
      </c>
      <c r="P3" s="40">
        <f t="shared" si="4"/>
        <v>20750</v>
      </c>
      <c r="Q3" s="42">
        <f t="shared" ref="Q3:Q73" si="5">SUM(M3:P3)</f>
        <v>122823</v>
      </c>
      <c r="R3" s="40">
        <f t="shared" ref="R3:U3" si="6">SUM(R4:R8)</f>
        <v>679</v>
      </c>
      <c r="S3" s="40">
        <f t="shared" si="6"/>
        <v>242</v>
      </c>
      <c r="T3" s="40">
        <f t="shared" si="6"/>
        <v>119</v>
      </c>
      <c r="U3" s="40">
        <f t="shared" si="6"/>
        <v>74</v>
      </c>
      <c r="V3" s="43">
        <f t="shared" ref="V3:V73" si="7">SUM(R3:U3)</f>
        <v>1114</v>
      </c>
      <c r="W3" s="40">
        <f t="shared" ref="W3:Z3" si="8">SUM(W4:W8)</f>
        <v>3667</v>
      </c>
      <c r="X3" s="40">
        <f t="shared" si="8"/>
        <v>1436</v>
      </c>
      <c r="Y3" s="40">
        <f t="shared" si="8"/>
        <v>406</v>
      </c>
      <c r="Z3" s="40">
        <f t="shared" si="8"/>
        <v>76</v>
      </c>
      <c r="AA3" s="43">
        <f t="shared" ref="AA3:AA73" si="9">SUM(W3:Z3)</f>
        <v>5585</v>
      </c>
      <c r="AB3" s="40">
        <f t="shared" ref="AB3:AE3" si="10">SUM(AB4:AB8)</f>
        <v>13177</v>
      </c>
      <c r="AC3" s="40">
        <f t="shared" si="10"/>
        <v>7995</v>
      </c>
      <c r="AD3" s="40">
        <f t="shared" si="10"/>
        <v>3279</v>
      </c>
      <c r="AE3" s="40">
        <f t="shared" si="10"/>
        <v>1082</v>
      </c>
      <c r="AF3" s="43">
        <f t="shared" ref="AF3:AF73" si="11">SUM(AB3:AE3)</f>
        <v>25533</v>
      </c>
      <c r="AG3" s="40">
        <f t="shared" ref="AG3:AJ3" si="12">SUM(AG4:AG8)</f>
        <v>21754</v>
      </c>
      <c r="AH3" s="40">
        <f t="shared" si="12"/>
        <v>25922</v>
      </c>
      <c r="AI3" s="40">
        <f t="shared" si="12"/>
        <v>23397</v>
      </c>
      <c r="AJ3" s="40">
        <f t="shared" si="12"/>
        <v>19518</v>
      </c>
      <c r="AK3" s="43">
        <f t="shared" ref="AK3:AK73" si="13">SUM(AG3:AJ3)</f>
        <v>90591</v>
      </c>
      <c r="AL3" s="44">
        <f t="shared" ref="AL3:AL74" si="14">IFERROR(AB3/$M3,"")</f>
        <v>0.33548896300633957</v>
      </c>
      <c r="AM3" s="44">
        <f t="shared" ref="AM3:AM74" si="15">IFERROR(AC3/$N3,"")</f>
        <v>0.22461019806152549</v>
      </c>
      <c r="AN3" s="44">
        <f t="shared" ref="AN3:AN74" si="16">IFERROR(AD3/$O3,"")</f>
        <v>0.12054703871181206</v>
      </c>
      <c r="AO3" s="44">
        <f t="shared" ref="AO3:AO74" si="17">IFERROR(AE3/$P3,"")</f>
        <v>5.2144578313253011E-2</v>
      </c>
      <c r="AP3" s="44">
        <f t="shared" ref="AP3:AP74" si="18">IFERROR(AF3/$Q3,"")</f>
        <v>0.20788451674360664</v>
      </c>
      <c r="AQ3" s="44">
        <f t="shared" ref="AQ3:AQ74" si="19">IFERROR(AG3/$M3,"")</f>
        <v>0.5538610382666701</v>
      </c>
      <c r="AR3" s="44">
        <f t="shared" ref="AR3:AR74" si="20">IFERROR(AH3/$N3,"")</f>
        <v>0.72824834948728756</v>
      </c>
      <c r="AS3" s="44">
        <f t="shared" ref="AS3:AS74" si="21">IFERROR(AI3/$O3,"")</f>
        <v>0.86015220028675421</v>
      </c>
      <c r="AT3" s="44">
        <f t="shared" ref="AT3:AT74" si="22">IFERROR(AJ3/$P3,"")</f>
        <v>0.94062650602409636</v>
      </c>
      <c r="AU3" s="44">
        <f t="shared" ref="AU3:AU74" si="23">IFERROR(AK3/$Q3,"")</f>
        <v>0.73757358149532248</v>
      </c>
      <c r="AV3" s="40">
        <f t="shared" ref="AV3:AY3" si="24">SUM(AV4:AV8)</f>
        <v>25894</v>
      </c>
      <c r="AW3" s="40">
        <f t="shared" si="24"/>
        <v>29506</v>
      </c>
      <c r="AX3" s="40">
        <f t="shared" si="24"/>
        <v>25526</v>
      </c>
      <c r="AY3" s="40">
        <f t="shared" si="24"/>
        <v>20232</v>
      </c>
      <c r="AZ3" s="43">
        <f t="shared" ref="AZ3:AZ73" si="25">SUM(AV3:AY3)</f>
        <v>101158</v>
      </c>
      <c r="BA3" s="40">
        <f t="shared" ref="BA3:BD3" si="26">SUM(BA4:BA8)</f>
        <v>21678</v>
      </c>
      <c r="BB3" s="40">
        <f t="shared" si="26"/>
        <v>25039</v>
      </c>
      <c r="BC3" s="40">
        <f t="shared" si="26"/>
        <v>23438</v>
      </c>
      <c r="BD3" s="40">
        <f t="shared" si="26"/>
        <v>19654</v>
      </c>
      <c r="BE3" s="43">
        <f t="shared" ref="BE3:BE73" si="27">SUM(BA3:BD3)</f>
        <v>89809</v>
      </c>
      <c r="BF3" s="40">
        <f t="shared" ref="BF3:BI3" si="28">SUM(BF4:BF8)</f>
        <v>14052</v>
      </c>
      <c r="BG3" s="40">
        <f t="shared" si="28"/>
        <v>19690</v>
      </c>
      <c r="BH3" s="40">
        <f t="shared" si="28"/>
        <v>20888</v>
      </c>
      <c r="BI3" s="40">
        <f t="shared" si="28"/>
        <v>18737</v>
      </c>
      <c r="BJ3" s="43">
        <f t="shared" ref="BJ3:BJ73" si="29">SUM(BF3:BI3)</f>
        <v>73367</v>
      </c>
      <c r="BK3" s="40">
        <f t="shared" ref="BK3:BN3" si="30">SUM(BK4:BK8)</f>
        <v>8687</v>
      </c>
      <c r="BL3" s="40">
        <f t="shared" si="30"/>
        <v>13487</v>
      </c>
      <c r="BM3" s="40">
        <f t="shared" si="30"/>
        <v>16569</v>
      </c>
      <c r="BN3" s="40">
        <f t="shared" si="30"/>
        <v>16341</v>
      </c>
      <c r="BO3" s="43">
        <f t="shared" ref="BO3:BO73" si="31">SUM(BK3:BN3)</f>
        <v>55084</v>
      </c>
      <c r="BP3" s="45">
        <v>3901</v>
      </c>
      <c r="BQ3" s="46">
        <f>IFERROR(AV3/$M3,"")</f>
        <v>0.65926623723807831</v>
      </c>
      <c r="BR3" s="46">
        <f>IFERROR(AW3/$M3,"")</f>
        <v>0.75122845431168372</v>
      </c>
      <c r="BS3" s="46">
        <f>IFERROR(AX3/$M3,"")</f>
        <v>0.64989688621839758</v>
      </c>
      <c r="BT3" s="46">
        <f>IFERROR(AY3/$M3,"")</f>
        <v>0.51511062453853396</v>
      </c>
      <c r="BU3" s="46">
        <f t="shared" ref="BU3:BU66" si="32">IFERROR(AZ3/$Q3,"")</f>
        <v>0.82360795616456206</v>
      </c>
      <c r="BV3" s="46">
        <f t="shared" ref="BV3:BV66" si="33">IFERROR(BA3/$M3,"")</f>
        <v>0.55192606359956209</v>
      </c>
      <c r="BW3" s="46">
        <f t="shared" ref="BW3:BW66" si="34">IFERROR(BB3/$N3,"")</f>
        <v>0.70344149459193706</v>
      </c>
      <c r="BX3" s="46">
        <f t="shared" ref="BX3:BX66" si="35">IFERROR(BC3/$O3,"")</f>
        <v>0.86165949781258044</v>
      </c>
      <c r="BY3" s="46">
        <f t="shared" ref="BY3:BY66" si="36">IFERROR(BD3/$P3,"")</f>
        <v>0.9471807228915663</v>
      </c>
      <c r="BZ3" s="47">
        <f t="shared" ref="BZ3:BZ66" si="37">IFERROR(BE3/$Q3,"")</f>
        <v>0.73120669581430187</v>
      </c>
      <c r="CA3" s="46">
        <f t="shared" ref="CA3:CA66" si="38">IFERROR(BF3/$M3,"")</f>
        <v>0.35776663187106961</v>
      </c>
      <c r="CB3" s="46">
        <f t="shared" ref="CB3:CB66" si="39">IFERROR(BG3/$N3,"")</f>
        <v>0.5531675797162523</v>
      </c>
      <c r="CC3" s="46">
        <f t="shared" ref="CC3:CC66" si="40">IFERROR(BH3/$O3,"")</f>
        <v>0.76791294437704494</v>
      </c>
      <c r="CD3" s="46">
        <f t="shared" ref="CD3:CD66" si="41">IFERROR(BI3/$P3,"")</f>
        <v>0.90298795180722891</v>
      </c>
      <c r="CE3" s="47">
        <f t="shared" ref="CE3:CE66" si="42">IFERROR(BJ3/$Q3,"")</f>
        <v>0.59733926056194686</v>
      </c>
      <c r="CF3" s="46">
        <f t="shared" ref="CF3:CF66" si="43">IFERROR(BK3/$M3,"")</f>
        <v>0.22117269648903939</v>
      </c>
      <c r="CG3" s="46">
        <f t="shared" ref="CG3:CG66" si="44">IFERROR(BL3/$N3,"")</f>
        <v>0.3789015311139205</v>
      </c>
      <c r="CH3" s="46">
        <f t="shared" ref="CH3:CH66" si="45">IFERROR(BM3/$O3,"")</f>
        <v>0.60913201720524979</v>
      </c>
      <c r="CI3" s="46">
        <f t="shared" ref="CI3:CI66" si="46">IFERROR(BN3/$P3,"")</f>
        <v>0.7875180722891566</v>
      </c>
      <c r="CJ3" s="47">
        <f t="shared" ref="CJ3:CJ66" si="47">IFERROR(BO3/$Q3,"")</f>
        <v>0.44848277602729131</v>
      </c>
      <c r="CK3" s="46">
        <f t="shared" ref="CK3:CN18" si="48">IFERROR((BQ3+BV3+CA3+CF3)/4,"")</f>
        <v>0.4475329072994374</v>
      </c>
      <c r="CL3" s="46">
        <f t="shared" si="48"/>
        <v>0.59668476493344835</v>
      </c>
      <c r="CM3" s="46">
        <f t="shared" si="48"/>
        <v>0.72215033640331827</v>
      </c>
      <c r="CN3" s="46">
        <f t="shared" si="48"/>
        <v>0.78819934288162141</v>
      </c>
      <c r="CO3" s="47">
        <f t="shared" ref="CO3:CO74" si="49">IFERROR((BZ3+CE3+CJ3+BU3)/4,"")</f>
        <v>0.65015917214202557</v>
      </c>
      <c r="CP3" s="48"/>
    </row>
    <row r="4" spans="1:94" ht="30.75" customHeight="1" x14ac:dyDescent="0.3">
      <c r="A4" s="49">
        <v>1</v>
      </c>
      <c r="B4" s="50" t="s">
        <v>34</v>
      </c>
      <c r="C4" s="50" t="s">
        <v>35</v>
      </c>
      <c r="D4" s="51">
        <v>46143</v>
      </c>
      <c r="E4" s="52">
        <v>297</v>
      </c>
      <c r="F4" s="52">
        <v>276</v>
      </c>
      <c r="G4" s="53">
        <f t="shared" si="1"/>
        <v>0.92929292929292928</v>
      </c>
      <c r="H4" s="52">
        <v>9190</v>
      </c>
      <c r="I4" s="52">
        <v>8740</v>
      </c>
      <c r="J4" s="52">
        <v>6934</v>
      </c>
      <c r="K4" s="52">
        <v>5391</v>
      </c>
      <c r="L4" s="54">
        <f t="shared" si="3"/>
        <v>30255</v>
      </c>
      <c r="M4" s="52">
        <f t="shared" ref="M4:P8" si="50">R4+W4+AB4+AG4</f>
        <v>8654</v>
      </c>
      <c r="N4" s="52">
        <f t="shared" si="50"/>
        <v>8394</v>
      </c>
      <c r="O4" s="52">
        <f t="shared" si="50"/>
        <v>6682</v>
      </c>
      <c r="P4" s="52">
        <f t="shared" si="50"/>
        <v>5229</v>
      </c>
      <c r="Q4" s="54">
        <f t="shared" si="5"/>
        <v>28959</v>
      </c>
      <c r="R4" s="52">
        <v>120</v>
      </c>
      <c r="S4" s="52">
        <v>27</v>
      </c>
      <c r="T4" s="52">
        <v>18</v>
      </c>
      <c r="U4" s="52">
        <v>0</v>
      </c>
      <c r="V4" s="55">
        <f t="shared" si="7"/>
        <v>165</v>
      </c>
      <c r="W4" s="52">
        <v>685</v>
      </c>
      <c r="X4" s="52">
        <v>232</v>
      </c>
      <c r="Y4" s="52">
        <v>51</v>
      </c>
      <c r="Z4" s="52">
        <v>7</v>
      </c>
      <c r="AA4" s="55">
        <f t="shared" si="9"/>
        <v>975</v>
      </c>
      <c r="AB4" s="52">
        <v>2685</v>
      </c>
      <c r="AC4" s="52">
        <v>1558</v>
      </c>
      <c r="AD4" s="52">
        <v>633</v>
      </c>
      <c r="AE4" s="52">
        <v>180</v>
      </c>
      <c r="AF4" s="55">
        <f t="shared" si="11"/>
        <v>5056</v>
      </c>
      <c r="AG4" s="52">
        <v>5164</v>
      </c>
      <c r="AH4" s="52">
        <v>6577</v>
      </c>
      <c r="AI4" s="52">
        <v>5980</v>
      </c>
      <c r="AJ4" s="52">
        <v>5042</v>
      </c>
      <c r="AK4" s="55">
        <f t="shared" si="13"/>
        <v>22763</v>
      </c>
      <c r="AL4" s="56">
        <f t="shared" si="14"/>
        <v>0.31026115091287265</v>
      </c>
      <c r="AM4" s="56">
        <f t="shared" si="15"/>
        <v>0.18560876816773886</v>
      </c>
      <c r="AN4" s="56">
        <f t="shared" si="16"/>
        <v>9.473211613289434E-2</v>
      </c>
      <c r="AO4" s="56">
        <f t="shared" si="17"/>
        <v>3.4423407917383818E-2</v>
      </c>
      <c r="AP4" s="57">
        <f t="shared" si="18"/>
        <v>0.17459166407679824</v>
      </c>
      <c r="AQ4" s="56">
        <f t="shared" si="19"/>
        <v>0.59671828056390108</v>
      </c>
      <c r="AR4" s="56">
        <f t="shared" si="20"/>
        <v>0.78353585894686684</v>
      </c>
      <c r="AS4" s="56">
        <f t="shared" si="21"/>
        <v>0.89494163424124518</v>
      </c>
      <c r="AT4" s="56">
        <f t="shared" si="22"/>
        <v>0.96423790399694009</v>
      </c>
      <c r="AU4" s="57">
        <f t="shared" si="23"/>
        <v>0.78604233571601234</v>
      </c>
      <c r="AV4" s="52">
        <v>6028</v>
      </c>
      <c r="AW4" s="52">
        <v>7044</v>
      </c>
      <c r="AX4" s="52">
        <v>6263</v>
      </c>
      <c r="AY4" s="52">
        <v>5108</v>
      </c>
      <c r="AZ4" s="58">
        <f t="shared" si="25"/>
        <v>24443</v>
      </c>
      <c r="BA4" s="52">
        <v>5085</v>
      </c>
      <c r="BB4" s="52">
        <v>6096</v>
      </c>
      <c r="BC4" s="52">
        <v>5702</v>
      </c>
      <c r="BD4" s="52">
        <v>4907</v>
      </c>
      <c r="BE4" s="59">
        <f t="shared" si="27"/>
        <v>21790</v>
      </c>
      <c r="BF4" s="52">
        <v>3399</v>
      </c>
      <c r="BG4" s="52">
        <v>4772</v>
      </c>
      <c r="BH4" s="52">
        <v>5042</v>
      </c>
      <c r="BI4" s="52">
        <v>4648</v>
      </c>
      <c r="BJ4" s="60">
        <f t="shared" si="29"/>
        <v>17861</v>
      </c>
      <c r="BK4" s="52">
        <v>2011</v>
      </c>
      <c r="BL4" s="52">
        <v>3280</v>
      </c>
      <c r="BM4" s="52">
        <v>4074</v>
      </c>
      <c r="BN4" s="52">
        <v>3946</v>
      </c>
      <c r="BO4" s="55">
        <f t="shared" si="31"/>
        <v>13311</v>
      </c>
      <c r="BP4" s="61"/>
      <c r="BQ4" s="62">
        <f t="shared" ref="BQ4:BQ67" si="51">IFERROR(AV4/$M4,"")</f>
        <v>0.69655650566212157</v>
      </c>
      <c r="BR4" s="62">
        <f t="shared" ref="BR4:BR67" si="52">IFERROR(AW4/$N4,"")</f>
        <v>0.83917083631165112</v>
      </c>
      <c r="BS4" s="62">
        <f t="shared" ref="BS4:BS67" si="53">IFERROR(AX4/$O4,"")</f>
        <v>0.93729422328644119</v>
      </c>
      <c r="BT4" s="62">
        <f t="shared" ref="BT4:BT67" si="54">IFERROR(AY4/$P4,"")</f>
        <v>0.97685982023331419</v>
      </c>
      <c r="BU4" s="63">
        <f t="shared" si="32"/>
        <v>0.84405538865292307</v>
      </c>
      <c r="BV4" s="62">
        <f t="shared" si="33"/>
        <v>0.58758955396348511</v>
      </c>
      <c r="BW4" s="62">
        <f t="shared" si="34"/>
        <v>0.72623302358827735</v>
      </c>
      <c r="BX4" s="62">
        <f t="shared" si="35"/>
        <v>0.85333732415444474</v>
      </c>
      <c r="BY4" s="62">
        <f t="shared" si="36"/>
        <v>0.93842034805890229</v>
      </c>
      <c r="BZ4" s="64">
        <f t="shared" si="37"/>
        <v>0.75244310922338475</v>
      </c>
      <c r="CA4" s="62">
        <f t="shared" si="38"/>
        <v>0.39276635082042988</v>
      </c>
      <c r="CB4" s="62">
        <f t="shared" si="39"/>
        <v>0.5685013104598523</v>
      </c>
      <c r="CC4" s="62">
        <f t="shared" si="40"/>
        <v>0.75456450164621369</v>
      </c>
      <c r="CD4" s="62">
        <f t="shared" si="41"/>
        <v>0.88888888888888884</v>
      </c>
      <c r="CE4" s="65">
        <f t="shared" si="42"/>
        <v>0.61676853482509753</v>
      </c>
      <c r="CF4" s="62">
        <f t="shared" si="43"/>
        <v>0.232378091056159</v>
      </c>
      <c r="CG4" s="62">
        <f t="shared" si="44"/>
        <v>0.39075530140576603</v>
      </c>
      <c r="CH4" s="62">
        <f t="shared" si="45"/>
        <v>0.6096976953008082</v>
      </c>
      <c r="CI4" s="62">
        <f t="shared" si="46"/>
        <v>0.75463759801109198</v>
      </c>
      <c r="CJ4" s="66">
        <f t="shared" si="47"/>
        <v>0.45964984978763079</v>
      </c>
      <c r="CK4" s="62">
        <f t="shared" si="48"/>
        <v>0.47732262537554887</v>
      </c>
      <c r="CL4" s="62">
        <f t="shared" si="48"/>
        <v>0.63116511794138674</v>
      </c>
      <c r="CM4" s="62">
        <f t="shared" si="48"/>
        <v>0.78872343609697693</v>
      </c>
      <c r="CN4" s="62">
        <f t="shared" si="48"/>
        <v>0.88970166379804927</v>
      </c>
      <c r="CO4" s="67">
        <f t="shared" si="49"/>
        <v>0.66822922062225909</v>
      </c>
      <c r="CP4" s="48"/>
    </row>
    <row r="5" spans="1:94" ht="30.75" customHeight="1" x14ac:dyDescent="0.3">
      <c r="A5" s="49">
        <v>2</v>
      </c>
      <c r="B5" s="50" t="s">
        <v>34</v>
      </c>
      <c r="C5" s="50" t="s">
        <v>36</v>
      </c>
      <c r="D5" s="51">
        <v>46144</v>
      </c>
      <c r="E5" s="52">
        <v>272</v>
      </c>
      <c r="F5" s="52">
        <v>256</v>
      </c>
      <c r="G5" s="53">
        <f t="shared" si="1"/>
        <v>0.94117647058823528</v>
      </c>
      <c r="H5" s="52">
        <v>8839</v>
      </c>
      <c r="I5" s="52">
        <v>8014</v>
      </c>
      <c r="J5" s="52">
        <v>6891</v>
      </c>
      <c r="K5" s="52">
        <v>4711</v>
      </c>
      <c r="L5" s="54">
        <f t="shared" si="3"/>
        <v>28455</v>
      </c>
      <c r="M5" s="52">
        <f t="shared" si="50"/>
        <v>8322</v>
      </c>
      <c r="N5" s="52">
        <f t="shared" si="50"/>
        <v>7581</v>
      </c>
      <c r="O5" s="52">
        <f t="shared" si="50"/>
        <v>5775</v>
      </c>
      <c r="P5" s="52">
        <f t="shared" si="50"/>
        <v>4521</v>
      </c>
      <c r="Q5" s="54">
        <f t="shared" si="5"/>
        <v>26199</v>
      </c>
      <c r="R5" s="52">
        <v>75</v>
      </c>
      <c r="S5" s="52">
        <v>18</v>
      </c>
      <c r="T5" s="52">
        <v>4</v>
      </c>
      <c r="U5" s="52">
        <v>0</v>
      </c>
      <c r="V5" s="55">
        <f t="shared" si="7"/>
        <v>97</v>
      </c>
      <c r="W5" s="52">
        <v>609</v>
      </c>
      <c r="X5" s="52">
        <v>198</v>
      </c>
      <c r="Y5" s="52">
        <v>44</v>
      </c>
      <c r="Z5" s="52">
        <v>14</v>
      </c>
      <c r="AA5" s="55">
        <f t="shared" si="9"/>
        <v>865</v>
      </c>
      <c r="AB5" s="52">
        <v>2786</v>
      </c>
      <c r="AC5" s="52">
        <v>1620</v>
      </c>
      <c r="AD5" s="52">
        <v>515</v>
      </c>
      <c r="AE5" s="52">
        <v>94</v>
      </c>
      <c r="AF5" s="55">
        <f t="shared" si="11"/>
        <v>5015</v>
      </c>
      <c r="AG5" s="52">
        <v>4852</v>
      </c>
      <c r="AH5" s="52">
        <v>5745</v>
      </c>
      <c r="AI5" s="52">
        <v>5212</v>
      </c>
      <c r="AJ5" s="52">
        <v>4413</v>
      </c>
      <c r="AK5" s="55">
        <f t="shared" si="13"/>
        <v>20222</v>
      </c>
      <c r="AL5" s="56">
        <f t="shared" si="14"/>
        <v>0.3347752944003845</v>
      </c>
      <c r="AM5" s="56">
        <f t="shared" si="15"/>
        <v>0.21369212504946578</v>
      </c>
      <c r="AN5" s="56">
        <f t="shared" si="16"/>
        <v>8.9177489177489175E-2</v>
      </c>
      <c r="AO5" s="56">
        <f t="shared" si="17"/>
        <v>2.0791860207918601E-2</v>
      </c>
      <c r="AP5" s="57">
        <f t="shared" si="18"/>
        <v>0.1914195198290011</v>
      </c>
      <c r="AQ5" s="56">
        <f t="shared" si="19"/>
        <v>0.58303292477769764</v>
      </c>
      <c r="AR5" s="56">
        <f t="shared" si="20"/>
        <v>0.75781559161060541</v>
      </c>
      <c r="AS5" s="56">
        <f t="shared" si="21"/>
        <v>0.90251082251082249</v>
      </c>
      <c r="AT5" s="56">
        <f t="shared" si="22"/>
        <v>0.97611147976111479</v>
      </c>
      <c r="AU5" s="57">
        <f t="shared" si="23"/>
        <v>0.77186152143211573</v>
      </c>
      <c r="AV5" s="52">
        <v>5741</v>
      </c>
      <c r="AW5" s="52">
        <v>6599</v>
      </c>
      <c r="AX5" s="52">
        <v>5775</v>
      </c>
      <c r="AY5" s="52">
        <v>4521</v>
      </c>
      <c r="AZ5" s="58">
        <f t="shared" si="25"/>
        <v>22636</v>
      </c>
      <c r="BA5" s="52">
        <v>4494</v>
      </c>
      <c r="BB5" s="52">
        <v>5513</v>
      </c>
      <c r="BC5" s="52">
        <v>5306</v>
      </c>
      <c r="BD5" s="52">
        <v>4413</v>
      </c>
      <c r="BE5" s="59">
        <f t="shared" si="27"/>
        <v>19726</v>
      </c>
      <c r="BF5" s="52">
        <v>2471</v>
      </c>
      <c r="BG5" s="52">
        <v>4310</v>
      </c>
      <c r="BH5" s="52">
        <v>4870</v>
      </c>
      <c r="BI5" s="52">
        <v>4190</v>
      </c>
      <c r="BJ5" s="60">
        <f t="shared" si="29"/>
        <v>15841</v>
      </c>
      <c r="BK5" s="52">
        <v>1293</v>
      </c>
      <c r="BL5" s="52">
        <v>2694</v>
      </c>
      <c r="BM5" s="52">
        <v>3875</v>
      </c>
      <c r="BN5" s="52">
        <v>3731</v>
      </c>
      <c r="BO5" s="55">
        <f t="shared" si="31"/>
        <v>11593</v>
      </c>
      <c r="BP5" s="61"/>
      <c r="BQ5" s="62">
        <f t="shared" si="51"/>
        <v>0.68985820716173996</v>
      </c>
      <c r="BR5" s="62">
        <f t="shared" si="52"/>
        <v>0.87046563777865715</v>
      </c>
      <c r="BS5" s="62">
        <f t="shared" si="53"/>
        <v>1</v>
      </c>
      <c r="BT5" s="62">
        <f t="shared" si="54"/>
        <v>1</v>
      </c>
      <c r="BU5" s="63">
        <f t="shared" si="32"/>
        <v>0.86400244284132988</v>
      </c>
      <c r="BV5" s="62">
        <f t="shared" si="33"/>
        <v>0.54001441961067054</v>
      </c>
      <c r="BW5" s="62">
        <f t="shared" si="34"/>
        <v>0.7272127687640153</v>
      </c>
      <c r="BX5" s="62">
        <f t="shared" si="35"/>
        <v>0.91878787878787882</v>
      </c>
      <c r="BY5" s="62">
        <f t="shared" si="36"/>
        <v>0.97611147976111479</v>
      </c>
      <c r="BZ5" s="64">
        <f t="shared" si="37"/>
        <v>0.75292950112599721</v>
      </c>
      <c r="CA5" s="62">
        <f t="shared" si="38"/>
        <v>0.29692381639029081</v>
      </c>
      <c r="CB5" s="62">
        <f t="shared" si="39"/>
        <v>0.568526579606912</v>
      </c>
      <c r="CC5" s="62">
        <f t="shared" si="40"/>
        <v>0.84329004329004331</v>
      </c>
      <c r="CD5" s="62">
        <f t="shared" si="41"/>
        <v>0.92678610926786109</v>
      </c>
      <c r="CE5" s="65">
        <f t="shared" si="42"/>
        <v>0.60464139852666132</v>
      </c>
      <c r="CF5" s="62">
        <f t="shared" si="43"/>
        <v>0.15537130497476567</v>
      </c>
      <c r="CG5" s="62">
        <f t="shared" si="44"/>
        <v>0.35536208943411157</v>
      </c>
      <c r="CH5" s="62">
        <f t="shared" si="45"/>
        <v>0.67099567099567103</v>
      </c>
      <c r="CI5" s="62">
        <f t="shared" si="46"/>
        <v>0.82525989825259893</v>
      </c>
      <c r="CJ5" s="66">
        <f t="shared" si="47"/>
        <v>0.44249780525974275</v>
      </c>
      <c r="CK5" s="62">
        <f t="shared" si="48"/>
        <v>0.42054193703436671</v>
      </c>
      <c r="CL5" s="62">
        <f t="shared" si="48"/>
        <v>0.63039176889592408</v>
      </c>
      <c r="CM5" s="62">
        <f t="shared" si="48"/>
        <v>0.85826839826839829</v>
      </c>
      <c r="CN5" s="62">
        <f t="shared" si="48"/>
        <v>0.93203937182039376</v>
      </c>
      <c r="CO5" s="67">
        <f t="shared" si="49"/>
        <v>0.66601778693843283</v>
      </c>
      <c r="CP5" s="48"/>
    </row>
    <row r="6" spans="1:94" ht="30.75" customHeight="1" x14ac:dyDescent="0.3">
      <c r="A6" s="49">
        <v>3</v>
      </c>
      <c r="B6" s="50" t="s">
        <v>34</v>
      </c>
      <c r="C6" s="50" t="s">
        <v>37</v>
      </c>
      <c r="D6" s="51">
        <v>46145</v>
      </c>
      <c r="E6" s="52">
        <v>147</v>
      </c>
      <c r="F6" s="52">
        <v>146</v>
      </c>
      <c r="G6" s="53">
        <f t="shared" si="1"/>
        <v>0.99319727891156462</v>
      </c>
      <c r="H6" s="52">
        <v>4159</v>
      </c>
      <c r="I6" s="52">
        <v>4075</v>
      </c>
      <c r="J6" s="52">
        <v>3004</v>
      </c>
      <c r="K6" s="52">
        <v>2080</v>
      </c>
      <c r="L6" s="54">
        <f t="shared" si="3"/>
        <v>13318</v>
      </c>
      <c r="M6" s="52">
        <f t="shared" si="50"/>
        <v>3962</v>
      </c>
      <c r="N6" s="52">
        <f t="shared" si="50"/>
        <v>3886</v>
      </c>
      <c r="O6" s="52">
        <f t="shared" si="50"/>
        <v>2800</v>
      </c>
      <c r="P6" s="52">
        <f t="shared" si="50"/>
        <v>2013</v>
      </c>
      <c r="Q6" s="54">
        <f t="shared" si="5"/>
        <v>12661</v>
      </c>
      <c r="R6" s="52">
        <v>80</v>
      </c>
      <c r="S6" s="52">
        <v>19</v>
      </c>
      <c r="T6" s="52">
        <v>0</v>
      </c>
      <c r="U6" s="52">
        <v>1</v>
      </c>
      <c r="V6" s="55">
        <f t="shared" si="7"/>
        <v>100</v>
      </c>
      <c r="W6" s="52">
        <v>360</v>
      </c>
      <c r="X6" s="52">
        <v>167</v>
      </c>
      <c r="Y6" s="52">
        <v>27</v>
      </c>
      <c r="Z6" s="52">
        <v>5</v>
      </c>
      <c r="AA6" s="55">
        <f t="shared" si="9"/>
        <v>559</v>
      </c>
      <c r="AB6" s="52">
        <v>1534</v>
      </c>
      <c r="AC6" s="52">
        <v>965</v>
      </c>
      <c r="AD6" s="52">
        <v>366</v>
      </c>
      <c r="AE6" s="52">
        <v>54</v>
      </c>
      <c r="AF6" s="55">
        <f t="shared" si="11"/>
        <v>2919</v>
      </c>
      <c r="AG6" s="52">
        <v>1988</v>
      </c>
      <c r="AH6" s="52">
        <v>2735</v>
      </c>
      <c r="AI6" s="52">
        <v>2407</v>
      </c>
      <c r="AJ6" s="52">
        <v>1953</v>
      </c>
      <c r="AK6" s="55">
        <f t="shared" si="13"/>
        <v>9083</v>
      </c>
      <c r="AL6" s="56">
        <f t="shared" si="14"/>
        <v>0.38717819283190308</v>
      </c>
      <c r="AM6" s="56">
        <f t="shared" si="15"/>
        <v>0.24832732887287701</v>
      </c>
      <c r="AN6" s="56">
        <f t="shared" si="16"/>
        <v>0.13071428571428573</v>
      </c>
      <c r="AO6" s="56">
        <f t="shared" si="17"/>
        <v>2.6825633383010434E-2</v>
      </c>
      <c r="AP6" s="57">
        <f t="shared" si="18"/>
        <v>0.23055050943843297</v>
      </c>
      <c r="AQ6" s="56">
        <f t="shared" si="19"/>
        <v>0.50176678445229683</v>
      </c>
      <c r="AR6" s="56">
        <f t="shared" si="20"/>
        <v>0.70380854348944932</v>
      </c>
      <c r="AS6" s="56">
        <f t="shared" si="21"/>
        <v>0.85964285714285715</v>
      </c>
      <c r="AT6" s="56">
        <f t="shared" si="22"/>
        <v>0.97019374068554398</v>
      </c>
      <c r="AU6" s="57">
        <f t="shared" si="23"/>
        <v>0.71739988942421606</v>
      </c>
      <c r="AV6" s="52">
        <v>2386</v>
      </c>
      <c r="AW6" s="52">
        <v>3091</v>
      </c>
      <c r="AX6" s="52">
        <v>2599</v>
      </c>
      <c r="AY6" s="52">
        <v>1954</v>
      </c>
      <c r="AZ6" s="58">
        <f t="shared" si="25"/>
        <v>10030</v>
      </c>
      <c r="BA6" s="52">
        <v>2028</v>
      </c>
      <c r="BB6" s="52">
        <v>2506</v>
      </c>
      <c r="BC6" s="52">
        <v>2319</v>
      </c>
      <c r="BD6" s="52">
        <v>1849</v>
      </c>
      <c r="BE6" s="59">
        <f t="shared" si="27"/>
        <v>8702</v>
      </c>
      <c r="BF6" s="52">
        <v>1212</v>
      </c>
      <c r="BG6" s="52">
        <v>1843</v>
      </c>
      <c r="BH6" s="52">
        <v>1983</v>
      </c>
      <c r="BI6" s="52">
        <v>1770</v>
      </c>
      <c r="BJ6" s="60">
        <f t="shared" si="29"/>
        <v>6808</v>
      </c>
      <c r="BK6" s="52">
        <v>757</v>
      </c>
      <c r="BL6" s="52">
        <v>1209</v>
      </c>
      <c r="BM6" s="52">
        <v>1518</v>
      </c>
      <c r="BN6" s="52">
        <v>1457</v>
      </c>
      <c r="BO6" s="55">
        <f t="shared" si="31"/>
        <v>4941</v>
      </c>
      <c r="BP6" s="61"/>
      <c r="BQ6" s="62">
        <f t="shared" si="51"/>
        <v>0.60222110045431598</v>
      </c>
      <c r="BR6" s="62">
        <f t="shared" si="52"/>
        <v>0.79541945445187856</v>
      </c>
      <c r="BS6" s="62">
        <f t="shared" si="53"/>
        <v>0.92821428571428577</v>
      </c>
      <c r="BT6" s="62">
        <f t="shared" si="54"/>
        <v>0.97069051167411824</v>
      </c>
      <c r="BU6" s="63">
        <f t="shared" si="32"/>
        <v>0.79219650896453675</v>
      </c>
      <c r="BV6" s="62">
        <f t="shared" si="33"/>
        <v>0.51186269560827868</v>
      </c>
      <c r="BW6" s="62">
        <f t="shared" si="34"/>
        <v>0.64487905301080806</v>
      </c>
      <c r="BX6" s="62">
        <f t="shared" si="35"/>
        <v>0.82821428571428568</v>
      </c>
      <c r="BY6" s="62">
        <f t="shared" si="36"/>
        <v>0.91852955787382018</v>
      </c>
      <c r="BZ6" s="64">
        <f t="shared" si="37"/>
        <v>0.68730747966195405</v>
      </c>
      <c r="CA6" s="62">
        <f t="shared" si="38"/>
        <v>0.30590610802624935</v>
      </c>
      <c r="CB6" s="62">
        <f t="shared" si="39"/>
        <v>0.47426659804426147</v>
      </c>
      <c r="CC6" s="62">
        <f t="shared" si="40"/>
        <v>0.70821428571428569</v>
      </c>
      <c r="CD6" s="62">
        <f t="shared" si="41"/>
        <v>0.87928464977645304</v>
      </c>
      <c r="CE6" s="65">
        <f t="shared" si="42"/>
        <v>0.53771424058131267</v>
      </c>
      <c r="CF6" s="62">
        <f t="shared" si="43"/>
        <v>0.19106511862695608</v>
      </c>
      <c r="CG6" s="62">
        <f t="shared" si="44"/>
        <v>0.31111682964487908</v>
      </c>
      <c r="CH6" s="62">
        <f t="shared" si="45"/>
        <v>0.54214285714285715</v>
      </c>
      <c r="CI6" s="62">
        <f t="shared" si="46"/>
        <v>0.72379533035270738</v>
      </c>
      <c r="CJ6" s="66">
        <f t="shared" si="47"/>
        <v>0.39025353447594979</v>
      </c>
      <c r="CK6" s="62">
        <f t="shared" si="48"/>
        <v>0.40276375567895001</v>
      </c>
      <c r="CL6" s="62">
        <f t="shared" si="48"/>
        <v>0.55642048378795683</v>
      </c>
      <c r="CM6" s="62">
        <f t="shared" si="48"/>
        <v>0.7516964285714286</v>
      </c>
      <c r="CN6" s="62">
        <f t="shared" si="48"/>
        <v>0.87307501241927465</v>
      </c>
      <c r="CO6" s="67">
        <f t="shared" si="49"/>
        <v>0.60186794092093832</v>
      </c>
      <c r="CP6" s="48"/>
    </row>
    <row r="7" spans="1:94" ht="30.75" customHeight="1" x14ac:dyDescent="0.3">
      <c r="A7" s="49">
        <v>4</v>
      </c>
      <c r="B7" s="50" t="s">
        <v>34</v>
      </c>
      <c r="C7" s="50" t="s">
        <v>38</v>
      </c>
      <c r="D7" s="51">
        <v>46146</v>
      </c>
      <c r="E7" s="52">
        <v>185</v>
      </c>
      <c r="F7" s="52">
        <v>185</v>
      </c>
      <c r="G7" s="53">
        <f t="shared" si="1"/>
        <v>1</v>
      </c>
      <c r="H7" s="52">
        <v>6717</v>
      </c>
      <c r="I7" s="52">
        <v>5447</v>
      </c>
      <c r="J7" s="52">
        <v>3738</v>
      </c>
      <c r="K7" s="52">
        <v>2705</v>
      </c>
      <c r="L7" s="54">
        <f t="shared" si="3"/>
        <v>18607</v>
      </c>
      <c r="M7" s="52">
        <f t="shared" si="50"/>
        <v>5987</v>
      </c>
      <c r="N7" s="52">
        <f t="shared" si="50"/>
        <v>4870</v>
      </c>
      <c r="O7" s="52">
        <f t="shared" si="50"/>
        <v>3418</v>
      </c>
      <c r="P7" s="52">
        <f t="shared" si="50"/>
        <v>2528</v>
      </c>
      <c r="Q7" s="54">
        <f t="shared" si="5"/>
        <v>16803</v>
      </c>
      <c r="R7" s="52">
        <v>30</v>
      </c>
      <c r="S7" s="52">
        <v>15</v>
      </c>
      <c r="T7" s="52">
        <v>1</v>
      </c>
      <c r="U7" s="52">
        <v>0</v>
      </c>
      <c r="V7" s="55">
        <f t="shared" si="7"/>
        <v>46</v>
      </c>
      <c r="W7" s="52">
        <v>396</v>
      </c>
      <c r="X7" s="52">
        <v>147</v>
      </c>
      <c r="Y7" s="52">
        <v>43</v>
      </c>
      <c r="Z7" s="52">
        <v>0</v>
      </c>
      <c r="AA7" s="55">
        <f t="shared" si="9"/>
        <v>586</v>
      </c>
      <c r="AB7" s="52">
        <v>1833</v>
      </c>
      <c r="AC7" s="52">
        <v>1011</v>
      </c>
      <c r="AD7" s="52">
        <v>316</v>
      </c>
      <c r="AE7" s="52">
        <v>69</v>
      </c>
      <c r="AF7" s="55">
        <f t="shared" si="11"/>
        <v>3229</v>
      </c>
      <c r="AG7" s="52">
        <v>3728</v>
      </c>
      <c r="AH7" s="52">
        <v>3697</v>
      </c>
      <c r="AI7" s="52">
        <v>3058</v>
      </c>
      <c r="AJ7" s="52">
        <v>2459</v>
      </c>
      <c r="AK7" s="55">
        <f t="shared" si="13"/>
        <v>12942</v>
      </c>
      <c r="AL7" s="56">
        <f t="shared" si="14"/>
        <v>0.30616335393352262</v>
      </c>
      <c r="AM7" s="56">
        <f t="shared" si="15"/>
        <v>0.20759753593429159</v>
      </c>
      <c r="AN7" s="56">
        <f t="shared" si="16"/>
        <v>9.2451726155646577E-2</v>
      </c>
      <c r="AO7" s="56">
        <f t="shared" si="17"/>
        <v>2.7294303797468354E-2</v>
      </c>
      <c r="AP7" s="57">
        <f t="shared" si="18"/>
        <v>0.19216806522644767</v>
      </c>
      <c r="AQ7" s="56">
        <f t="shared" si="19"/>
        <v>0.6226824787038584</v>
      </c>
      <c r="AR7" s="56">
        <f t="shared" si="20"/>
        <v>0.75913757700205342</v>
      </c>
      <c r="AS7" s="56">
        <f t="shared" si="21"/>
        <v>0.89467524868344062</v>
      </c>
      <c r="AT7" s="56">
        <f t="shared" si="22"/>
        <v>0.97270569620253167</v>
      </c>
      <c r="AU7" s="57">
        <f t="shared" si="23"/>
        <v>0.77021960364220676</v>
      </c>
      <c r="AV7" s="52">
        <v>3993</v>
      </c>
      <c r="AW7" s="52">
        <v>3934</v>
      </c>
      <c r="AX7" s="52">
        <v>3137</v>
      </c>
      <c r="AY7" s="52">
        <v>2479</v>
      </c>
      <c r="AZ7" s="58">
        <f t="shared" si="25"/>
        <v>13543</v>
      </c>
      <c r="BA7" s="52">
        <v>3441</v>
      </c>
      <c r="BB7" s="52">
        <v>3281</v>
      </c>
      <c r="BC7" s="52">
        <v>2843</v>
      </c>
      <c r="BD7" s="52">
        <v>2405</v>
      </c>
      <c r="BE7" s="59">
        <f t="shared" si="27"/>
        <v>11970</v>
      </c>
      <c r="BF7" s="52">
        <v>2079</v>
      </c>
      <c r="BG7" s="52">
        <v>2430</v>
      </c>
      <c r="BH7" s="52">
        <v>2481</v>
      </c>
      <c r="BI7" s="52">
        <v>2250</v>
      </c>
      <c r="BJ7" s="60">
        <f t="shared" si="29"/>
        <v>9240</v>
      </c>
      <c r="BK7" s="52">
        <v>1315</v>
      </c>
      <c r="BL7" s="52">
        <v>1682</v>
      </c>
      <c r="BM7" s="52">
        <v>1823</v>
      </c>
      <c r="BN7" s="52">
        <v>1922</v>
      </c>
      <c r="BO7" s="55">
        <f t="shared" si="31"/>
        <v>6742</v>
      </c>
      <c r="BP7" s="61"/>
      <c r="BQ7" s="62">
        <f t="shared" si="51"/>
        <v>0.66694504760314011</v>
      </c>
      <c r="BR7" s="62">
        <f t="shared" si="52"/>
        <v>0.80780287474332646</v>
      </c>
      <c r="BS7" s="62">
        <f t="shared" si="53"/>
        <v>0.9177881802223522</v>
      </c>
      <c r="BT7" s="62">
        <f t="shared" si="54"/>
        <v>0.98061708860759489</v>
      </c>
      <c r="BU7" s="63">
        <f t="shared" si="32"/>
        <v>0.80598702612628692</v>
      </c>
      <c r="BV7" s="62">
        <f t="shared" si="33"/>
        <v>0.57474528144312675</v>
      </c>
      <c r="BW7" s="62">
        <f t="shared" si="34"/>
        <v>0.67371663244353186</v>
      </c>
      <c r="BX7" s="62">
        <f t="shared" si="35"/>
        <v>0.83177296664716205</v>
      </c>
      <c r="BY7" s="62">
        <f t="shared" si="36"/>
        <v>0.95134493670886078</v>
      </c>
      <c r="BZ7" s="64">
        <f t="shared" si="37"/>
        <v>0.71237279057311198</v>
      </c>
      <c r="CA7" s="62">
        <f t="shared" si="38"/>
        <v>0.34725238015700682</v>
      </c>
      <c r="CB7" s="62">
        <f t="shared" si="39"/>
        <v>0.49897330595482547</v>
      </c>
      <c r="CC7" s="62">
        <f t="shared" si="40"/>
        <v>0.72586307782328852</v>
      </c>
      <c r="CD7" s="62">
        <f t="shared" si="41"/>
        <v>0.89003164556962022</v>
      </c>
      <c r="CE7" s="65">
        <f t="shared" si="42"/>
        <v>0.54990180324941973</v>
      </c>
      <c r="CF7" s="62">
        <f t="shared" si="43"/>
        <v>0.21964255887756806</v>
      </c>
      <c r="CG7" s="62">
        <f t="shared" si="44"/>
        <v>0.34537987679671456</v>
      </c>
      <c r="CH7" s="62">
        <f t="shared" si="45"/>
        <v>0.53335283791691046</v>
      </c>
      <c r="CI7" s="62">
        <f t="shared" si="46"/>
        <v>0.76028481012658233</v>
      </c>
      <c r="CJ7" s="66">
        <f t="shared" si="47"/>
        <v>0.40123787418913287</v>
      </c>
      <c r="CK7" s="62">
        <f t="shared" si="48"/>
        <v>0.45214631702021046</v>
      </c>
      <c r="CL7" s="62">
        <f t="shared" si="48"/>
        <v>0.58146817248459959</v>
      </c>
      <c r="CM7" s="62">
        <f t="shared" si="48"/>
        <v>0.75219426565242831</v>
      </c>
      <c r="CN7" s="62">
        <f t="shared" si="48"/>
        <v>0.89556962025316444</v>
      </c>
      <c r="CO7" s="67">
        <f t="shared" si="49"/>
        <v>0.61737487353448794</v>
      </c>
      <c r="CP7" s="48"/>
    </row>
    <row r="8" spans="1:94" ht="30.75" customHeight="1" x14ac:dyDescent="0.3">
      <c r="A8" s="49">
        <v>5</v>
      </c>
      <c r="B8" s="50" t="s">
        <v>34</v>
      </c>
      <c r="C8" s="50" t="s">
        <v>39</v>
      </c>
      <c r="D8" s="51">
        <v>46147</v>
      </c>
      <c r="E8" s="52">
        <v>368</v>
      </c>
      <c r="F8" s="52">
        <v>348</v>
      </c>
      <c r="G8" s="53">
        <f t="shared" si="1"/>
        <v>0.94565217391304346</v>
      </c>
      <c r="H8" s="52">
        <v>12886</v>
      </c>
      <c r="I8" s="52">
        <v>11265</v>
      </c>
      <c r="J8" s="52">
        <v>8970</v>
      </c>
      <c r="K8" s="52">
        <v>6707</v>
      </c>
      <c r="L8" s="54">
        <f t="shared" si="3"/>
        <v>39828</v>
      </c>
      <c r="M8" s="52">
        <f t="shared" si="50"/>
        <v>12352</v>
      </c>
      <c r="N8" s="52">
        <f t="shared" si="50"/>
        <v>10864</v>
      </c>
      <c r="O8" s="52">
        <f t="shared" si="50"/>
        <v>8526</v>
      </c>
      <c r="P8" s="52">
        <f t="shared" si="50"/>
        <v>6459</v>
      </c>
      <c r="Q8" s="54">
        <f t="shared" si="5"/>
        <v>38201</v>
      </c>
      <c r="R8" s="52">
        <v>374</v>
      </c>
      <c r="S8" s="52">
        <v>163</v>
      </c>
      <c r="T8" s="52">
        <v>96</v>
      </c>
      <c r="U8" s="52">
        <v>73</v>
      </c>
      <c r="V8" s="55">
        <f t="shared" si="7"/>
        <v>706</v>
      </c>
      <c r="W8" s="52">
        <v>1617</v>
      </c>
      <c r="X8" s="52">
        <v>692</v>
      </c>
      <c r="Y8" s="52">
        <v>241</v>
      </c>
      <c r="Z8" s="52">
        <v>50</v>
      </c>
      <c r="AA8" s="55">
        <f t="shared" si="9"/>
        <v>2600</v>
      </c>
      <c r="AB8" s="52">
        <v>4339</v>
      </c>
      <c r="AC8" s="52">
        <v>2841</v>
      </c>
      <c r="AD8" s="52">
        <v>1449</v>
      </c>
      <c r="AE8" s="52">
        <v>685</v>
      </c>
      <c r="AF8" s="55">
        <f t="shared" si="11"/>
        <v>9314</v>
      </c>
      <c r="AG8" s="52">
        <v>6022</v>
      </c>
      <c r="AH8" s="52">
        <v>7168</v>
      </c>
      <c r="AI8" s="52">
        <v>6740</v>
      </c>
      <c r="AJ8" s="52">
        <v>5651</v>
      </c>
      <c r="AK8" s="55">
        <f t="shared" si="13"/>
        <v>25581</v>
      </c>
      <c r="AL8" s="56">
        <f t="shared" si="14"/>
        <v>0.35127914507772023</v>
      </c>
      <c r="AM8" s="56">
        <f t="shared" si="15"/>
        <v>0.26150589101620031</v>
      </c>
      <c r="AN8" s="56">
        <f t="shared" si="16"/>
        <v>0.16995073891625614</v>
      </c>
      <c r="AO8" s="56">
        <f t="shared" si="17"/>
        <v>0.10605356866387985</v>
      </c>
      <c r="AP8" s="57">
        <f t="shared" si="18"/>
        <v>0.24381560692128479</v>
      </c>
      <c r="AQ8" s="56">
        <f t="shared" si="19"/>
        <v>0.48753238341968913</v>
      </c>
      <c r="AR8" s="56">
        <f t="shared" si="20"/>
        <v>0.65979381443298968</v>
      </c>
      <c r="AS8" s="56">
        <f t="shared" si="21"/>
        <v>0.79052310579404172</v>
      </c>
      <c r="AT8" s="56">
        <f t="shared" si="22"/>
        <v>0.87490323579501472</v>
      </c>
      <c r="AU8" s="57">
        <f t="shared" si="23"/>
        <v>0.66964215596450349</v>
      </c>
      <c r="AV8" s="52">
        <v>7746</v>
      </c>
      <c r="AW8" s="52">
        <v>8838</v>
      </c>
      <c r="AX8" s="52">
        <v>7752</v>
      </c>
      <c r="AY8" s="52">
        <v>6170</v>
      </c>
      <c r="AZ8" s="58">
        <f t="shared" si="25"/>
        <v>30506</v>
      </c>
      <c r="BA8" s="52">
        <v>6630</v>
      </c>
      <c r="BB8" s="52">
        <v>7643</v>
      </c>
      <c r="BC8" s="52">
        <v>7268</v>
      </c>
      <c r="BD8" s="52">
        <v>6080</v>
      </c>
      <c r="BE8" s="59">
        <f t="shared" si="27"/>
        <v>27621</v>
      </c>
      <c r="BF8" s="52">
        <v>4891</v>
      </c>
      <c r="BG8" s="52">
        <v>6335</v>
      </c>
      <c r="BH8" s="52">
        <v>6512</v>
      </c>
      <c r="BI8" s="52">
        <v>5879</v>
      </c>
      <c r="BJ8" s="60">
        <f t="shared" si="29"/>
        <v>23617</v>
      </c>
      <c r="BK8" s="52">
        <v>3311</v>
      </c>
      <c r="BL8" s="52">
        <v>4622</v>
      </c>
      <c r="BM8" s="52">
        <v>5279</v>
      </c>
      <c r="BN8" s="52">
        <v>5285</v>
      </c>
      <c r="BO8" s="55">
        <f t="shared" si="31"/>
        <v>18497</v>
      </c>
      <c r="BP8" s="61"/>
      <c r="BQ8" s="62">
        <f t="shared" si="51"/>
        <v>0.62710492227979275</v>
      </c>
      <c r="BR8" s="62">
        <f t="shared" si="52"/>
        <v>0.81351251840942562</v>
      </c>
      <c r="BS8" s="62">
        <f t="shared" si="53"/>
        <v>0.90921885995777618</v>
      </c>
      <c r="BT8" s="62">
        <f t="shared" si="54"/>
        <v>0.955256231614801</v>
      </c>
      <c r="BU8" s="63">
        <f t="shared" si="32"/>
        <v>0.79856548257899007</v>
      </c>
      <c r="BV8" s="62">
        <f t="shared" si="33"/>
        <v>0.53675518134715028</v>
      </c>
      <c r="BW8" s="62">
        <f t="shared" si="34"/>
        <v>0.70351620029455086</v>
      </c>
      <c r="BX8" s="62">
        <f t="shared" si="35"/>
        <v>0.85245132535772927</v>
      </c>
      <c r="BY8" s="62">
        <f t="shared" si="36"/>
        <v>0.94132218609691898</v>
      </c>
      <c r="BZ8" s="64">
        <f t="shared" si="37"/>
        <v>0.72304389937436198</v>
      </c>
      <c r="CA8" s="62">
        <f t="shared" si="38"/>
        <v>0.39596826424870468</v>
      </c>
      <c r="CB8" s="62">
        <f t="shared" si="39"/>
        <v>0.58311855670103097</v>
      </c>
      <c r="CC8" s="62">
        <f t="shared" si="40"/>
        <v>0.76378137461881301</v>
      </c>
      <c r="CD8" s="62">
        <f t="shared" si="41"/>
        <v>0.9102028177736492</v>
      </c>
      <c r="CE8" s="65">
        <f t="shared" si="42"/>
        <v>0.6182298892699144</v>
      </c>
      <c r="CF8" s="62">
        <f t="shared" si="43"/>
        <v>0.26805375647668395</v>
      </c>
      <c r="CG8" s="62">
        <f t="shared" si="44"/>
        <v>0.42544182621502208</v>
      </c>
      <c r="CH8" s="62">
        <f t="shared" si="45"/>
        <v>0.61916490734224727</v>
      </c>
      <c r="CI8" s="62">
        <f t="shared" si="46"/>
        <v>0.81823811735562779</v>
      </c>
      <c r="CJ8" s="66">
        <f t="shared" si="47"/>
        <v>0.48420198424125022</v>
      </c>
      <c r="CK8" s="62">
        <f t="shared" si="48"/>
        <v>0.45697053108808294</v>
      </c>
      <c r="CL8" s="62">
        <f t="shared" si="48"/>
        <v>0.63139727540500734</v>
      </c>
      <c r="CM8" s="62">
        <f t="shared" si="48"/>
        <v>0.78615411681914138</v>
      </c>
      <c r="CN8" s="62">
        <f t="shared" si="48"/>
        <v>0.90625483821024921</v>
      </c>
      <c r="CO8" s="67">
        <f t="shared" si="49"/>
        <v>0.65601031386612907</v>
      </c>
      <c r="CP8" s="48"/>
    </row>
    <row r="9" spans="1:94" ht="30.75" customHeight="1" x14ac:dyDescent="0.3">
      <c r="A9" s="36" t="s">
        <v>40</v>
      </c>
      <c r="B9" s="37"/>
      <c r="C9" s="38"/>
      <c r="D9" s="39"/>
      <c r="E9" s="40">
        <f t="shared" ref="E9:F9" si="55">SUM(E10:E16)</f>
        <v>1786</v>
      </c>
      <c r="F9" s="40">
        <f t="shared" si="55"/>
        <v>1746</v>
      </c>
      <c r="G9" s="41">
        <f t="shared" si="1"/>
        <v>0.97760358342665177</v>
      </c>
      <c r="H9" s="40">
        <f t="shared" ref="H9:K9" si="56">SUM(H10:H16)</f>
        <v>63568</v>
      </c>
      <c r="I9" s="40">
        <f t="shared" si="56"/>
        <v>50565</v>
      </c>
      <c r="J9" s="40">
        <f t="shared" si="56"/>
        <v>36067</v>
      </c>
      <c r="K9" s="40">
        <f t="shared" si="56"/>
        <v>27571</v>
      </c>
      <c r="L9" s="42">
        <f t="shared" si="3"/>
        <v>177771</v>
      </c>
      <c r="M9" s="40">
        <f t="shared" ref="M9:P9" si="57">SUM(M10:M16)</f>
        <v>56962</v>
      </c>
      <c r="N9" s="40">
        <f t="shared" si="57"/>
        <v>46341</v>
      </c>
      <c r="O9" s="40">
        <f t="shared" si="57"/>
        <v>33748</v>
      </c>
      <c r="P9" s="40">
        <f t="shared" si="57"/>
        <v>26405</v>
      </c>
      <c r="Q9" s="42">
        <f t="shared" si="5"/>
        <v>163456</v>
      </c>
      <c r="R9" s="40">
        <f t="shared" ref="R9:U9" si="58">SUM(R10:R16)</f>
        <v>808</v>
      </c>
      <c r="S9" s="40">
        <f t="shared" si="58"/>
        <v>248</v>
      </c>
      <c r="T9" s="40">
        <f t="shared" si="58"/>
        <v>103</v>
      </c>
      <c r="U9" s="40">
        <f t="shared" si="58"/>
        <v>68</v>
      </c>
      <c r="V9" s="43">
        <f t="shared" si="7"/>
        <v>1227</v>
      </c>
      <c r="W9" s="40">
        <f t="shared" ref="W9:Z9" si="59">SUM(W10:W16)</f>
        <v>3342</v>
      </c>
      <c r="X9" s="40">
        <f t="shared" si="59"/>
        <v>1357</v>
      </c>
      <c r="Y9" s="40">
        <f t="shared" si="59"/>
        <v>377</v>
      </c>
      <c r="Z9" s="40">
        <f t="shared" si="59"/>
        <v>164</v>
      </c>
      <c r="AA9" s="43">
        <f t="shared" si="9"/>
        <v>5240</v>
      </c>
      <c r="AB9" s="40">
        <f t="shared" ref="AB9:AE9" si="60">SUM(AB10:AB16)</f>
        <v>12166</v>
      </c>
      <c r="AC9" s="40">
        <f t="shared" si="60"/>
        <v>7159</v>
      </c>
      <c r="AD9" s="40">
        <f t="shared" si="60"/>
        <v>2930</v>
      </c>
      <c r="AE9" s="40">
        <f t="shared" si="60"/>
        <v>1003</v>
      </c>
      <c r="AF9" s="43">
        <f t="shared" si="11"/>
        <v>23258</v>
      </c>
      <c r="AG9" s="40">
        <f t="shared" ref="AG9:AJ9" si="61">SUM(AG10:AG16)</f>
        <v>40613</v>
      </c>
      <c r="AH9" s="40">
        <f t="shared" si="61"/>
        <v>37515</v>
      </c>
      <c r="AI9" s="40">
        <f t="shared" si="61"/>
        <v>30270</v>
      </c>
      <c r="AJ9" s="40">
        <f t="shared" si="61"/>
        <v>24989</v>
      </c>
      <c r="AK9" s="43">
        <f t="shared" si="13"/>
        <v>133387</v>
      </c>
      <c r="AL9" s="44">
        <f t="shared" si="14"/>
        <v>0.21358098381377058</v>
      </c>
      <c r="AM9" s="44">
        <f t="shared" si="15"/>
        <v>0.15448522906281695</v>
      </c>
      <c r="AN9" s="44">
        <f t="shared" si="16"/>
        <v>8.6819959701315633E-2</v>
      </c>
      <c r="AO9" s="44">
        <f t="shared" si="17"/>
        <v>3.7985230070062485E-2</v>
      </c>
      <c r="AP9" s="44">
        <f t="shared" si="18"/>
        <v>0.14228905638214565</v>
      </c>
      <c r="AQ9" s="44">
        <f t="shared" si="19"/>
        <v>0.71298409465959767</v>
      </c>
      <c r="AR9" s="44">
        <f t="shared" si="20"/>
        <v>0.80954230594937526</v>
      </c>
      <c r="AS9" s="44">
        <f t="shared" si="21"/>
        <v>0.89694204100983765</v>
      </c>
      <c r="AT9" s="44">
        <f t="shared" si="22"/>
        <v>0.94637379284226475</v>
      </c>
      <c r="AU9" s="44">
        <f t="shared" si="23"/>
        <v>0.8160422376664056</v>
      </c>
      <c r="AV9" s="40">
        <f t="shared" ref="AV9:AY9" si="62">SUM(AV10:AV16)</f>
        <v>48035</v>
      </c>
      <c r="AW9" s="40">
        <f t="shared" si="62"/>
        <v>40013</v>
      </c>
      <c r="AX9" s="40">
        <f t="shared" si="62"/>
        <v>30983</v>
      </c>
      <c r="AY9" s="40">
        <f t="shared" si="62"/>
        <v>25194</v>
      </c>
      <c r="AZ9" s="43">
        <f t="shared" si="25"/>
        <v>144225</v>
      </c>
      <c r="BA9" s="40">
        <f t="shared" ref="BA9:BD9" si="63">SUM(BA10:BA16)</f>
        <v>39021</v>
      </c>
      <c r="BB9" s="40">
        <f t="shared" si="63"/>
        <v>36463</v>
      </c>
      <c r="BC9" s="40">
        <f t="shared" si="63"/>
        <v>29294</v>
      </c>
      <c r="BD9" s="40">
        <f t="shared" si="63"/>
        <v>23919</v>
      </c>
      <c r="BE9" s="43">
        <f t="shared" si="27"/>
        <v>128697</v>
      </c>
      <c r="BF9" s="40">
        <f t="shared" ref="BF9:BI9" si="64">SUM(BF10:BF16)</f>
        <v>30104</v>
      </c>
      <c r="BG9" s="40">
        <f t="shared" si="64"/>
        <v>31348</v>
      </c>
      <c r="BH9" s="40">
        <f t="shared" si="64"/>
        <v>27671</v>
      </c>
      <c r="BI9" s="40">
        <f t="shared" si="64"/>
        <v>22066</v>
      </c>
      <c r="BJ9" s="43">
        <f t="shared" si="29"/>
        <v>111189</v>
      </c>
      <c r="BK9" s="40">
        <f t="shared" ref="BK9:BN9" si="65">SUM(BK10:BK16)</f>
        <v>22190</v>
      </c>
      <c r="BL9" s="40">
        <f t="shared" si="65"/>
        <v>23150</v>
      </c>
      <c r="BM9" s="40">
        <f t="shared" si="65"/>
        <v>26190</v>
      </c>
      <c r="BN9" s="40">
        <f t="shared" si="65"/>
        <v>18153</v>
      </c>
      <c r="BO9" s="43">
        <f t="shared" si="31"/>
        <v>89683</v>
      </c>
      <c r="BP9" s="45"/>
      <c r="BQ9" s="46">
        <f t="shared" si="51"/>
        <v>0.84328148590288265</v>
      </c>
      <c r="BR9" s="46">
        <f t="shared" si="52"/>
        <v>0.86344705552318679</v>
      </c>
      <c r="BS9" s="46">
        <f t="shared" si="53"/>
        <v>0.91806921891667659</v>
      </c>
      <c r="BT9" s="46">
        <f t="shared" si="54"/>
        <v>0.95413747396326454</v>
      </c>
      <c r="BU9" s="46">
        <f t="shared" si="32"/>
        <v>0.88234754306969465</v>
      </c>
      <c r="BV9" s="46">
        <f t="shared" si="33"/>
        <v>0.68503563779361676</v>
      </c>
      <c r="BW9" s="46">
        <f t="shared" si="34"/>
        <v>0.78684102630499986</v>
      </c>
      <c r="BX9" s="46">
        <f t="shared" si="35"/>
        <v>0.86802180869977486</v>
      </c>
      <c r="BY9" s="46">
        <f t="shared" si="36"/>
        <v>0.90585116455216819</v>
      </c>
      <c r="BZ9" s="47">
        <f t="shared" si="37"/>
        <v>0.78734950078308541</v>
      </c>
      <c r="CA9" s="46">
        <f t="shared" si="38"/>
        <v>0.52849267933007971</v>
      </c>
      <c r="CB9" s="46">
        <f t="shared" si="39"/>
        <v>0.67646360674133055</v>
      </c>
      <c r="CC9" s="46">
        <f t="shared" si="40"/>
        <v>0.81993006993006989</v>
      </c>
      <c r="CD9" s="46">
        <f t="shared" si="41"/>
        <v>0.83567506154137472</v>
      </c>
      <c r="CE9" s="47">
        <f t="shared" si="42"/>
        <v>0.68023810689115116</v>
      </c>
      <c r="CF9" s="46">
        <f t="shared" si="43"/>
        <v>0.38955795091464485</v>
      </c>
      <c r="CG9" s="46">
        <f t="shared" si="44"/>
        <v>0.4995576271552189</v>
      </c>
      <c r="CH9" s="46">
        <f t="shared" si="45"/>
        <v>0.7760459879103947</v>
      </c>
      <c r="CI9" s="46">
        <f t="shared" si="46"/>
        <v>0.68748343116833932</v>
      </c>
      <c r="CJ9" s="47">
        <f t="shared" si="47"/>
        <v>0.54866753132341428</v>
      </c>
      <c r="CK9" s="46">
        <f t="shared" si="48"/>
        <v>0.61159193848530591</v>
      </c>
      <c r="CL9" s="46">
        <f t="shared" si="48"/>
        <v>0.70657732893118408</v>
      </c>
      <c r="CM9" s="46">
        <f t="shared" si="48"/>
        <v>0.84551677136422898</v>
      </c>
      <c r="CN9" s="46">
        <f t="shared" si="48"/>
        <v>0.84578678280628661</v>
      </c>
      <c r="CO9" s="47">
        <f t="shared" si="49"/>
        <v>0.7246506705168364</v>
      </c>
      <c r="CP9" s="48"/>
    </row>
    <row r="10" spans="1:94" ht="30.75" customHeight="1" x14ac:dyDescent="0.3">
      <c r="A10" s="49">
        <v>6</v>
      </c>
      <c r="B10" s="50" t="s">
        <v>41</v>
      </c>
      <c r="C10" s="50" t="s">
        <v>42</v>
      </c>
      <c r="D10" s="51">
        <v>46169</v>
      </c>
      <c r="E10" s="52">
        <v>109</v>
      </c>
      <c r="F10" s="52">
        <v>107</v>
      </c>
      <c r="G10" s="53">
        <f t="shared" si="1"/>
        <v>0.98165137614678899</v>
      </c>
      <c r="H10" s="82">
        <v>3831</v>
      </c>
      <c r="I10" s="75">
        <v>3338</v>
      </c>
      <c r="J10" s="75">
        <v>2255</v>
      </c>
      <c r="K10" s="75">
        <v>1566</v>
      </c>
      <c r="L10" s="54">
        <f t="shared" si="3"/>
        <v>10990</v>
      </c>
      <c r="M10" s="52">
        <v>3530</v>
      </c>
      <c r="N10" s="52">
        <v>3137</v>
      </c>
      <c r="O10" s="52">
        <v>2164</v>
      </c>
      <c r="P10" s="52">
        <v>1502</v>
      </c>
      <c r="Q10" s="54">
        <f t="shared" si="5"/>
        <v>10333</v>
      </c>
      <c r="R10" s="52">
        <v>36</v>
      </c>
      <c r="S10" s="52">
        <v>5</v>
      </c>
      <c r="T10" s="52">
        <v>0</v>
      </c>
      <c r="U10" s="52">
        <v>0</v>
      </c>
      <c r="V10" s="55">
        <f t="shared" si="7"/>
        <v>41</v>
      </c>
      <c r="W10" s="52">
        <v>160</v>
      </c>
      <c r="X10" s="52">
        <v>55</v>
      </c>
      <c r="Y10" s="52">
        <v>12</v>
      </c>
      <c r="Z10" s="52">
        <v>0</v>
      </c>
      <c r="AA10" s="55">
        <f t="shared" si="9"/>
        <v>227</v>
      </c>
      <c r="AB10" s="52">
        <v>632</v>
      </c>
      <c r="AC10" s="52">
        <v>325</v>
      </c>
      <c r="AD10" s="52">
        <v>111</v>
      </c>
      <c r="AE10" s="52">
        <v>20</v>
      </c>
      <c r="AF10" s="55">
        <f t="shared" si="11"/>
        <v>1088</v>
      </c>
      <c r="AG10" s="52">
        <v>2697</v>
      </c>
      <c r="AH10" s="52">
        <v>2753</v>
      </c>
      <c r="AI10" s="52">
        <v>2045</v>
      </c>
      <c r="AJ10" s="52">
        <v>1482</v>
      </c>
      <c r="AK10" s="55">
        <f t="shared" si="13"/>
        <v>8977</v>
      </c>
      <c r="AL10" s="56">
        <f t="shared" si="14"/>
        <v>0.17903682719546743</v>
      </c>
      <c r="AM10" s="56">
        <f t="shared" si="15"/>
        <v>0.10360216767612368</v>
      </c>
      <c r="AN10" s="56">
        <f t="shared" si="16"/>
        <v>5.129390018484288E-2</v>
      </c>
      <c r="AO10" s="56">
        <f t="shared" si="17"/>
        <v>1.3315579227696404E-2</v>
      </c>
      <c r="AP10" s="57">
        <f t="shared" si="18"/>
        <v>0.10529371915223072</v>
      </c>
      <c r="AQ10" s="56">
        <f t="shared" si="19"/>
        <v>0.76402266288951837</v>
      </c>
      <c r="AR10" s="56">
        <f t="shared" si="20"/>
        <v>0.87759005419190306</v>
      </c>
      <c r="AS10" s="56">
        <f t="shared" si="21"/>
        <v>0.94500924214417747</v>
      </c>
      <c r="AT10" s="56">
        <f t="shared" si="22"/>
        <v>0.98668442077230356</v>
      </c>
      <c r="AU10" s="57">
        <f t="shared" si="23"/>
        <v>0.86876996032130072</v>
      </c>
      <c r="AV10" s="52">
        <v>2738</v>
      </c>
      <c r="AW10" s="52">
        <v>2764</v>
      </c>
      <c r="AX10" s="52">
        <v>2014</v>
      </c>
      <c r="AY10" s="52">
        <v>1455</v>
      </c>
      <c r="AZ10" s="58">
        <f t="shared" si="25"/>
        <v>8971</v>
      </c>
      <c r="BA10" s="52">
        <v>2524</v>
      </c>
      <c r="BB10" s="52">
        <v>2592</v>
      </c>
      <c r="BC10" s="52">
        <v>1920</v>
      </c>
      <c r="BD10" s="52">
        <v>1425</v>
      </c>
      <c r="BE10" s="59">
        <f t="shared" si="27"/>
        <v>8461</v>
      </c>
      <c r="BF10" s="52">
        <v>2050</v>
      </c>
      <c r="BG10" s="52">
        <v>2252</v>
      </c>
      <c r="BH10" s="52">
        <v>1769</v>
      </c>
      <c r="BI10" s="52">
        <v>1353</v>
      </c>
      <c r="BJ10" s="60">
        <f t="shared" si="29"/>
        <v>7424</v>
      </c>
      <c r="BK10" s="52">
        <v>1626</v>
      </c>
      <c r="BL10" s="52">
        <v>1825</v>
      </c>
      <c r="BM10" s="52">
        <v>1547</v>
      </c>
      <c r="BN10" s="52">
        <v>1244</v>
      </c>
      <c r="BO10" s="55">
        <f t="shared" si="31"/>
        <v>6242</v>
      </c>
      <c r="BP10" s="61"/>
      <c r="BQ10" s="62">
        <f t="shared" si="51"/>
        <v>0.77563739376770535</v>
      </c>
      <c r="BR10" s="62">
        <f t="shared" si="52"/>
        <v>0.88109658909786415</v>
      </c>
      <c r="BS10" s="62">
        <f t="shared" si="53"/>
        <v>0.93068391866913125</v>
      </c>
      <c r="BT10" s="62">
        <f t="shared" si="54"/>
        <v>0.9687083888149135</v>
      </c>
      <c r="BU10" s="63">
        <f t="shared" si="32"/>
        <v>0.86818929642891707</v>
      </c>
      <c r="BV10" s="62">
        <f t="shared" si="33"/>
        <v>0.715014164305949</v>
      </c>
      <c r="BW10" s="62">
        <f t="shared" si="34"/>
        <v>0.82626713420465414</v>
      </c>
      <c r="BX10" s="62">
        <f t="shared" si="35"/>
        <v>0.88724584103512016</v>
      </c>
      <c r="BY10" s="62">
        <f t="shared" si="36"/>
        <v>0.94873501997336884</v>
      </c>
      <c r="BZ10" s="64">
        <f t="shared" si="37"/>
        <v>0.81883286557630897</v>
      </c>
      <c r="CA10" s="62">
        <f t="shared" si="38"/>
        <v>0.58073654390934848</v>
      </c>
      <c r="CB10" s="62">
        <f t="shared" si="39"/>
        <v>0.71788332802040167</v>
      </c>
      <c r="CC10" s="62">
        <f t="shared" si="40"/>
        <v>0.81746765249537889</v>
      </c>
      <c r="CD10" s="62">
        <f t="shared" si="41"/>
        <v>0.9007989347536618</v>
      </c>
      <c r="CE10" s="65">
        <f t="shared" si="42"/>
        <v>0.71847478950933896</v>
      </c>
      <c r="CF10" s="62">
        <f t="shared" si="43"/>
        <v>0.46062322946175638</v>
      </c>
      <c r="CG10" s="62">
        <f t="shared" si="44"/>
        <v>0.58176601848900222</v>
      </c>
      <c r="CH10" s="62">
        <f t="shared" si="45"/>
        <v>0.71487985212569316</v>
      </c>
      <c r="CI10" s="62">
        <f t="shared" si="46"/>
        <v>0.82822902796271636</v>
      </c>
      <c r="CJ10" s="66">
        <f t="shared" si="47"/>
        <v>0.60408400270976481</v>
      </c>
      <c r="CK10" s="62">
        <f t="shared" si="48"/>
        <v>0.63300283286118975</v>
      </c>
      <c r="CL10" s="62">
        <f t="shared" si="48"/>
        <v>0.75175326745298054</v>
      </c>
      <c r="CM10" s="62">
        <f t="shared" si="48"/>
        <v>0.83756931608133089</v>
      </c>
      <c r="CN10" s="62">
        <f t="shared" si="48"/>
        <v>0.9116178428761651</v>
      </c>
      <c r="CO10" s="67">
        <f t="shared" si="49"/>
        <v>0.75239523855608248</v>
      </c>
      <c r="CP10" s="48"/>
    </row>
    <row r="11" spans="1:94" ht="30.75" customHeight="1" x14ac:dyDescent="0.3">
      <c r="A11" s="49">
        <v>7</v>
      </c>
      <c r="B11" s="50" t="s">
        <v>41</v>
      </c>
      <c r="C11" s="50" t="s">
        <v>43</v>
      </c>
      <c r="D11" s="51">
        <v>46170</v>
      </c>
      <c r="E11" s="52">
        <v>381</v>
      </c>
      <c r="F11" s="52">
        <v>362</v>
      </c>
      <c r="G11" s="53">
        <f t="shared" si="1"/>
        <v>0.95013123359580054</v>
      </c>
      <c r="H11" s="70">
        <v>9158</v>
      </c>
      <c r="I11" s="70">
        <v>6878</v>
      </c>
      <c r="J11" s="70">
        <v>5127</v>
      </c>
      <c r="K11" s="70">
        <v>3555</v>
      </c>
      <c r="L11" s="54">
        <f t="shared" si="3"/>
        <v>24718</v>
      </c>
      <c r="M11" s="52">
        <v>7598</v>
      </c>
      <c r="N11" s="52">
        <v>6129</v>
      </c>
      <c r="O11" s="52">
        <v>4573</v>
      </c>
      <c r="P11" s="52">
        <v>3370</v>
      </c>
      <c r="Q11" s="54">
        <f t="shared" si="5"/>
        <v>21670</v>
      </c>
      <c r="R11" s="52">
        <v>84</v>
      </c>
      <c r="S11" s="52">
        <v>11</v>
      </c>
      <c r="T11" s="52">
        <v>2</v>
      </c>
      <c r="U11" s="52">
        <v>0</v>
      </c>
      <c r="V11" s="55">
        <f t="shared" si="7"/>
        <v>97</v>
      </c>
      <c r="W11" s="52">
        <v>220</v>
      </c>
      <c r="X11" s="52">
        <v>93</v>
      </c>
      <c r="Y11" s="52">
        <v>22</v>
      </c>
      <c r="Z11" s="52">
        <v>4</v>
      </c>
      <c r="AA11" s="55">
        <f t="shared" si="9"/>
        <v>339</v>
      </c>
      <c r="AB11" s="52">
        <v>2744</v>
      </c>
      <c r="AC11" s="52">
        <v>1468</v>
      </c>
      <c r="AD11" s="52">
        <v>783</v>
      </c>
      <c r="AE11" s="52">
        <v>333</v>
      </c>
      <c r="AF11" s="55">
        <f t="shared" si="11"/>
        <v>5328</v>
      </c>
      <c r="AG11" s="52">
        <v>4550</v>
      </c>
      <c r="AH11" s="52">
        <v>4557</v>
      </c>
      <c r="AI11" s="52">
        <v>3766</v>
      </c>
      <c r="AJ11" s="52">
        <v>3033</v>
      </c>
      <c r="AK11" s="55">
        <f t="shared" si="13"/>
        <v>15906</v>
      </c>
      <c r="AL11" s="56">
        <f t="shared" si="14"/>
        <v>0.36114767043958934</v>
      </c>
      <c r="AM11" s="56">
        <f t="shared" si="15"/>
        <v>0.23951705008973731</v>
      </c>
      <c r="AN11" s="56">
        <f t="shared" si="16"/>
        <v>0.17122239230264596</v>
      </c>
      <c r="AO11" s="56">
        <f t="shared" si="17"/>
        <v>9.8813056379821962E-2</v>
      </c>
      <c r="AP11" s="57">
        <f t="shared" si="18"/>
        <v>0.24586986617443471</v>
      </c>
      <c r="AQ11" s="56">
        <f t="shared" si="19"/>
        <v>0.59884180047380886</v>
      </c>
      <c r="AR11" s="56">
        <f t="shared" si="20"/>
        <v>0.74351443954968188</v>
      </c>
      <c r="AS11" s="56">
        <f t="shared" si="21"/>
        <v>0.82352941176470584</v>
      </c>
      <c r="AT11" s="56">
        <f t="shared" si="22"/>
        <v>0.9</v>
      </c>
      <c r="AU11" s="57">
        <f t="shared" si="23"/>
        <v>0.73401015228426392</v>
      </c>
      <c r="AV11" s="52">
        <v>6860</v>
      </c>
      <c r="AW11" s="52">
        <v>5424</v>
      </c>
      <c r="AX11" s="52">
        <v>4108</v>
      </c>
      <c r="AY11" s="52">
        <v>3074</v>
      </c>
      <c r="AZ11" s="58">
        <f t="shared" si="25"/>
        <v>19466</v>
      </c>
      <c r="BA11" s="52">
        <v>6476</v>
      </c>
      <c r="BB11" s="52">
        <v>5266</v>
      </c>
      <c r="BC11" s="52">
        <v>4021</v>
      </c>
      <c r="BD11" s="52">
        <v>3039</v>
      </c>
      <c r="BE11" s="59">
        <f t="shared" si="27"/>
        <v>18802</v>
      </c>
      <c r="BF11" s="52">
        <v>5825</v>
      </c>
      <c r="BG11" s="52">
        <v>4822</v>
      </c>
      <c r="BH11" s="52">
        <v>3740</v>
      </c>
      <c r="BI11" s="52">
        <v>2818</v>
      </c>
      <c r="BJ11" s="60">
        <f t="shared" si="29"/>
        <v>17205</v>
      </c>
      <c r="BK11" s="52">
        <v>5249</v>
      </c>
      <c r="BL11" s="52">
        <v>4584</v>
      </c>
      <c r="BM11" s="52">
        <v>3658</v>
      </c>
      <c r="BN11" s="52">
        <v>2817</v>
      </c>
      <c r="BO11" s="55">
        <f t="shared" si="31"/>
        <v>16308</v>
      </c>
      <c r="BP11" s="61"/>
      <c r="BQ11" s="62">
        <f t="shared" si="51"/>
        <v>0.90286917609897344</v>
      </c>
      <c r="BR11" s="62">
        <f t="shared" si="52"/>
        <v>0.88497307880567788</v>
      </c>
      <c r="BS11" s="62">
        <f t="shared" si="53"/>
        <v>0.89831620380494204</v>
      </c>
      <c r="BT11" s="62">
        <f t="shared" si="54"/>
        <v>0.91216617210682494</v>
      </c>
      <c r="BU11" s="63">
        <f t="shared" si="32"/>
        <v>0.89829257037378862</v>
      </c>
      <c r="BV11" s="62">
        <f t="shared" si="33"/>
        <v>0.85232956041063435</v>
      </c>
      <c r="BW11" s="62">
        <f t="shared" si="34"/>
        <v>0.85919399575787236</v>
      </c>
      <c r="BX11" s="62">
        <f t="shared" si="35"/>
        <v>0.87929149354909253</v>
      </c>
      <c r="BY11" s="62">
        <f t="shared" si="36"/>
        <v>0.9017804154302671</v>
      </c>
      <c r="BZ11" s="64">
        <f t="shared" si="37"/>
        <v>0.86765113059529309</v>
      </c>
      <c r="CA11" s="62">
        <f t="shared" si="38"/>
        <v>0.76664911818899706</v>
      </c>
      <c r="CB11" s="62">
        <f t="shared" si="39"/>
        <v>0.78675150921846959</v>
      </c>
      <c r="CC11" s="62">
        <f t="shared" si="40"/>
        <v>0.81784386617100369</v>
      </c>
      <c r="CD11" s="62">
        <f t="shared" si="41"/>
        <v>0.83620178041543025</v>
      </c>
      <c r="CE11" s="65">
        <f t="shared" si="42"/>
        <v>0.7939547761882787</v>
      </c>
      <c r="CF11" s="62">
        <f t="shared" si="43"/>
        <v>0.69083969465648853</v>
      </c>
      <c r="CG11" s="62">
        <f t="shared" si="44"/>
        <v>0.74791972589329414</v>
      </c>
      <c r="CH11" s="62">
        <f t="shared" si="45"/>
        <v>0.79991253006778917</v>
      </c>
      <c r="CI11" s="62">
        <f t="shared" si="46"/>
        <v>0.83590504451038572</v>
      </c>
      <c r="CJ11" s="66">
        <f t="shared" si="47"/>
        <v>0.75256114443931699</v>
      </c>
      <c r="CK11" s="62">
        <f t="shared" si="48"/>
        <v>0.80317188733877343</v>
      </c>
      <c r="CL11" s="62">
        <f t="shared" si="48"/>
        <v>0.81970957741882855</v>
      </c>
      <c r="CM11" s="62">
        <f t="shared" si="48"/>
        <v>0.84884102339820688</v>
      </c>
      <c r="CN11" s="62">
        <f t="shared" si="48"/>
        <v>0.87151335311572709</v>
      </c>
      <c r="CO11" s="67">
        <f t="shared" si="49"/>
        <v>0.82811490539916943</v>
      </c>
      <c r="CP11" s="48"/>
    </row>
    <row r="12" spans="1:94" ht="30.75" customHeight="1" x14ac:dyDescent="0.3">
      <c r="A12" s="49">
        <v>8</v>
      </c>
      <c r="B12" s="50" t="s">
        <v>41</v>
      </c>
      <c r="C12" s="50" t="s">
        <v>44</v>
      </c>
      <c r="D12" s="51">
        <v>46171</v>
      </c>
      <c r="E12" s="52">
        <v>431</v>
      </c>
      <c r="F12" s="52">
        <v>425</v>
      </c>
      <c r="G12" s="53">
        <f t="shared" si="1"/>
        <v>0.9860788863109049</v>
      </c>
      <c r="H12" s="52">
        <v>17211</v>
      </c>
      <c r="I12" s="52">
        <v>13081</v>
      </c>
      <c r="J12" s="52">
        <v>9932</v>
      </c>
      <c r="K12" s="52">
        <v>8816</v>
      </c>
      <c r="L12" s="54">
        <f t="shared" si="3"/>
        <v>49040</v>
      </c>
      <c r="M12" s="52">
        <v>16856</v>
      </c>
      <c r="N12" s="52">
        <v>12893</v>
      </c>
      <c r="O12" s="52">
        <v>9913</v>
      </c>
      <c r="P12" s="52">
        <v>8795</v>
      </c>
      <c r="Q12" s="54">
        <f t="shared" si="5"/>
        <v>48457</v>
      </c>
      <c r="R12" s="52">
        <v>0</v>
      </c>
      <c r="S12" s="52">
        <v>0</v>
      </c>
      <c r="T12" s="52">
        <v>0</v>
      </c>
      <c r="U12" s="52">
        <v>0</v>
      </c>
      <c r="V12" s="55">
        <f t="shared" si="7"/>
        <v>0</v>
      </c>
      <c r="W12" s="52">
        <v>0</v>
      </c>
      <c r="X12" s="52">
        <v>0</v>
      </c>
      <c r="Y12" s="52">
        <v>0</v>
      </c>
      <c r="Z12" s="52">
        <v>0</v>
      </c>
      <c r="AA12" s="55">
        <f t="shared" si="9"/>
        <v>0</v>
      </c>
      <c r="AB12" s="52">
        <v>758</v>
      </c>
      <c r="AC12" s="52">
        <v>0</v>
      </c>
      <c r="AD12" s="52">
        <v>0</v>
      </c>
      <c r="AE12" s="52">
        <v>0</v>
      </c>
      <c r="AF12" s="55">
        <f t="shared" si="11"/>
        <v>758</v>
      </c>
      <c r="AG12" s="52">
        <v>16098</v>
      </c>
      <c r="AH12" s="52">
        <v>12847</v>
      </c>
      <c r="AI12" s="52">
        <v>9904</v>
      </c>
      <c r="AJ12" s="52">
        <v>8744</v>
      </c>
      <c r="AK12" s="55">
        <f t="shared" si="13"/>
        <v>47593</v>
      </c>
      <c r="AL12" s="56">
        <f t="shared" si="14"/>
        <v>4.4969150450878029E-2</v>
      </c>
      <c r="AM12" s="56">
        <f t="shared" si="15"/>
        <v>0</v>
      </c>
      <c r="AN12" s="56">
        <f t="shared" si="16"/>
        <v>0</v>
      </c>
      <c r="AO12" s="56">
        <f t="shared" si="17"/>
        <v>0</v>
      </c>
      <c r="AP12" s="57">
        <f t="shared" si="18"/>
        <v>1.5642734795798335E-2</v>
      </c>
      <c r="AQ12" s="56">
        <f t="shared" si="19"/>
        <v>0.95503084954912199</v>
      </c>
      <c r="AR12" s="56">
        <f t="shared" si="20"/>
        <v>0.99643217249670368</v>
      </c>
      <c r="AS12" s="56">
        <f t="shared" si="21"/>
        <v>0.99909210128114601</v>
      </c>
      <c r="AT12" s="56">
        <f t="shared" si="22"/>
        <v>0.99420125071063103</v>
      </c>
      <c r="AU12" s="57">
        <f t="shared" si="23"/>
        <v>0.98216975875518497</v>
      </c>
      <c r="AV12" s="52">
        <v>14586</v>
      </c>
      <c r="AW12" s="52">
        <v>11816</v>
      </c>
      <c r="AX12" s="52">
        <v>9479</v>
      </c>
      <c r="AY12" s="52">
        <v>8795</v>
      </c>
      <c r="AZ12" s="58">
        <f t="shared" si="25"/>
        <v>44676</v>
      </c>
      <c r="BA12" s="52">
        <v>11537</v>
      </c>
      <c r="BB12" s="52">
        <v>11549</v>
      </c>
      <c r="BC12" s="52">
        <v>9394</v>
      </c>
      <c r="BD12" s="52">
        <v>8363</v>
      </c>
      <c r="BE12" s="59">
        <f t="shared" si="27"/>
        <v>40843</v>
      </c>
      <c r="BF12" s="52">
        <v>8185</v>
      </c>
      <c r="BG12" s="52">
        <v>9607</v>
      </c>
      <c r="BH12" s="52">
        <v>8933</v>
      </c>
      <c r="BI12" s="52">
        <v>6841</v>
      </c>
      <c r="BJ12" s="60">
        <f t="shared" si="29"/>
        <v>33566</v>
      </c>
      <c r="BK12" s="52">
        <v>3244</v>
      </c>
      <c r="BL12" s="52">
        <v>4701</v>
      </c>
      <c r="BM12" s="52">
        <v>9909</v>
      </c>
      <c r="BN12" s="52">
        <v>4698</v>
      </c>
      <c r="BO12" s="55">
        <f t="shared" si="31"/>
        <v>22552</v>
      </c>
      <c r="BP12" s="61"/>
      <c r="BQ12" s="62">
        <f t="shared" si="51"/>
        <v>0.86532985287138109</v>
      </c>
      <c r="BR12" s="62">
        <f t="shared" si="52"/>
        <v>0.91646629954238734</v>
      </c>
      <c r="BS12" s="62">
        <f t="shared" si="53"/>
        <v>0.95621910622415007</v>
      </c>
      <c r="BT12" s="62">
        <f t="shared" si="54"/>
        <v>1</v>
      </c>
      <c r="BU12" s="63">
        <f t="shared" si="32"/>
        <v>0.92197205770064183</v>
      </c>
      <c r="BV12" s="62">
        <f t="shared" si="33"/>
        <v>0.68444470811580449</v>
      </c>
      <c r="BW12" s="62">
        <f t="shared" si="34"/>
        <v>0.89575738772977587</v>
      </c>
      <c r="BX12" s="62">
        <f t="shared" si="35"/>
        <v>0.94764450721275095</v>
      </c>
      <c r="BY12" s="62">
        <f t="shared" si="36"/>
        <v>0.95088118249005116</v>
      </c>
      <c r="BZ12" s="64">
        <f t="shared" si="37"/>
        <v>0.8428709990300679</v>
      </c>
      <c r="CA12" s="62">
        <f t="shared" si="38"/>
        <v>0.48558376839107736</v>
      </c>
      <c r="CB12" s="62">
        <f t="shared" si="39"/>
        <v>0.74513301791669895</v>
      </c>
      <c r="CC12" s="62">
        <f t="shared" si="40"/>
        <v>0.90113991728033893</v>
      </c>
      <c r="CD12" s="62">
        <f t="shared" si="41"/>
        <v>0.77782831154064813</v>
      </c>
      <c r="CE12" s="65">
        <f t="shared" si="42"/>
        <v>0.69269661761974533</v>
      </c>
      <c r="CF12" s="62">
        <f t="shared" si="43"/>
        <v>0.19245372567631705</v>
      </c>
      <c r="CG12" s="62">
        <f t="shared" si="44"/>
        <v>0.36461645854339564</v>
      </c>
      <c r="CH12" s="62">
        <f t="shared" si="45"/>
        <v>0.99959648945828705</v>
      </c>
      <c r="CI12" s="62">
        <f t="shared" si="46"/>
        <v>0.53416714042069358</v>
      </c>
      <c r="CJ12" s="66">
        <f t="shared" si="47"/>
        <v>0.46540231545493943</v>
      </c>
      <c r="CK12" s="62">
        <f t="shared" si="48"/>
        <v>0.55695301376364503</v>
      </c>
      <c r="CL12" s="62">
        <f t="shared" si="48"/>
        <v>0.73049329093306437</v>
      </c>
      <c r="CM12" s="62">
        <f t="shared" si="48"/>
        <v>0.95115000504388181</v>
      </c>
      <c r="CN12" s="62">
        <f t="shared" si="48"/>
        <v>0.81571915861284827</v>
      </c>
      <c r="CO12" s="67">
        <f t="shared" si="49"/>
        <v>0.73073549745134869</v>
      </c>
      <c r="CP12" s="48"/>
    </row>
    <row r="13" spans="1:94" ht="30.75" customHeight="1" x14ac:dyDescent="0.3">
      <c r="A13" s="49">
        <v>9</v>
      </c>
      <c r="B13" s="50" t="s">
        <v>41</v>
      </c>
      <c r="C13" s="50" t="s">
        <v>45</v>
      </c>
      <c r="D13" s="51">
        <v>46143</v>
      </c>
      <c r="E13" s="52">
        <v>279</v>
      </c>
      <c r="F13" s="52">
        <v>279</v>
      </c>
      <c r="G13" s="53">
        <f t="shared" si="1"/>
        <v>1</v>
      </c>
      <c r="H13" s="52">
        <v>11032</v>
      </c>
      <c r="I13" s="52">
        <v>8131</v>
      </c>
      <c r="J13" s="52">
        <v>4791</v>
      </c>
      <c r="K13" s="52">
        <v>3167</v>
      </c>
      <c r="L13" s="54">
        <f t="shared" si="3"/>
        <v>27121</v>
      </c>
      <c r="M13" s="52">
        <v>8798</v>
      </c>
      <c r="N13" s="52">
        <v>6532</v>
      </c>
      <c r="O13" s="52">
        <v>4042</v>
      </c>
      <c r="P13" s="52">
        <v>2784</v>
      </c>
      <c r="Q13" s="54">
        <f t="shared" si="5"/>
        <v>22156</v>
      </c>
      <c r="R13" s="52">
        <v>20</v>
      </c>
      <c r="S13" s="52">
        <v>0</v>
      </c>
      <c r="T13" s="52">
        <v>0</v>
      </c>
      <c r="U13" s="52">
        <v>0</v>
      </c>
      <c r="V13" s="55">
        <f t="shared" si="7"/>
        <v>20</v>
      </c>
      <c r="W13" s="52">
        <v>5</v>
      </c>
      <c r="X13" s="52">
        <v>4</v>
      </c>
      <c r="Y13" s="52">
        <v>0</v>
      </c>
      <c r="Z13" s="52">
        <v>0</v>
      </c>
      <c r="AA13" s="55">
        <f t="shared" si="9"/>
        <v>9</v>
      </c>
      <c r="AB13" s="52">
        <v>603</v>
      </c>
      <c r="AC13" s="52">
        <v>79</v>
      </c>
      <c r="AD13" s="52">
        <v>11</v>
      </c>
      <c r="AE13" s="52">
        <v>1</v>
      </c>
      <c r="AF13" s="55">
        <f t="shared" si="11"/>
        <v>694</v>
      </c>
      <c r="AG13" s="52">
        <v>8170</v>
      </c>
      <c r="AH13" s="52">
        <v>6449</v>
      </c>
      <c r="AI13" s="52">
        <v>4031</v>
      </c>
      <c r="AJ13" s="52">
        <v>2783</v>
      </c>
      <c r="AK13" s="55">
        <f t="shared" si="13"/>
        <v>21433</v>
      </c>
      <c r="AL13" s="56">
        <f t="shared" si="14"/>
        <v>6.8538304160036367E-2</v>
      </c>
      <c r="AM13" s="56">
        <f t="shared" si="15"/>
        <v>1.2094304960195958E-2</v>
      </c>
      <c r="AN13" s="56">
        <f t="shared" si="16"/>
        <v>2.7214250371103412E-3</v>
      </c>
      <c r="AO13" s="56">
        <f t="shared" si="17"/>
        <v>3.5919540229885057E-4</v>
      </c>
      <c r="AP13" s="57">
        <f t="shared" si="18"/>
        <v>3.1323343563820182E-2</v>
      </c>
      <c r="AQ13" s="56">
        <f t="shared" si="19"/>
        <v>0.928620140941123</v>
      </c>
      <c r="AR13" s="56">
        <f t="shared" si="20"/>
        <v>0.98729332516840174</v>
      </c>
      <c r="AS13" s="56">
        <f t="shared" si="21"/>
        <v>0.99727857496288963</v>
      </c>
      <c r="AT13" s="56">
        <f t="shared" si="22"/>
        <v>0.9996408045977011</v>
      </c>
      <c r="AU13" s="57">
        <f t="shared" si="23"/>
        <v>0.96736775591261959</v>
      </c>
      <c r="AV13" s="52">
        <v>7224</v>
      </c>
      <c r="AW13" s="52">
        <v>5867</v>
      </c>
      <c r="AX13" s="52">
        <v>4042</v>
      </c>
      <c r="AY13" s="52">
        <v>2784</v>
      </c>
      <c r="AZ13" s="58">
        <f t="shared" si="25"/>
        <v>19917</v>
      </c>
      <c r="BA13" s="52">
        <v>6170</v>
      </c>
      <c r="BB13" s="52">
        <v>5150</v>
      </c>
      <c r="BC13" s="52">
        <v>4042</v>
      </c>
      <c r="BD13" s="52">
        <v>2784</v>
      </c>
      <c r="BE13" s="59">
        <f t="shared" si="27"/>
        <v>18146</v>
      </c>
      <c r="BF13" s="52">
        <v>5163</v>
      </c>
      <c r="BG13" s="52">
        <v>4723</v>
      </c>
      <c r="BH13" s="52">
        <v>4042</v>
      </c>
      <c r="BI13" s="52">
        <v>2784</v>
      </c>
      <c r="BJ13" s="60">
        <f t="shared" si="29"/>
        <v>16712</v>
      </c>
      <c r="BK13" s="52">
        <v>4018</v>
      </c>
      <c r="BL13" s="52">
        <v>3991</v>
      </c>
      <c r="BM13" s="52">
        <v>4001</v>
      </c>
      <c r="BN13" s="52">
        <v>2639</v>
      </c>
      <c r="BO13" s="55">
        <f t="shared" si="31"/>
        <v>14649</v>
      </c>
      <c r="BP13" s="61"/>
      <c r="BQ13" s="62">
        <f t="shared" si="51"/>
        <v>0.82109570356899297</v>
      </c>
      <c r="BR13" s="62">
        <f t="shared" si="52"/>
        <v>0.89819350887936311</v>
      </c>
      <c r="BS13" s="62">
        <f t="shared" si="53"/>
        <v>1</v>
      </c>
      <c r="BT13" s="62">
        <f t="shared" si="54"/>
        <v>1</v>
      </c>
      <c r="BU13" s="63">
        <f t="shared" si="32"/>
        <v>0.89894385268098931</v>
      </c>
      <c r="BV13" s="62">
        <f t="shared" si="33"/>
        <v>0.70129574903387137</v>
      </c>
      <c r="BW13" s="62">
        <f t="shared" si="34"/>
        <v>0.78842620943049602</v>
      </c>
      <c r="BX13" s="62">
        <f t="shared" si="35"/>
        <v>1</v>
      </c>
      <c r="BY13" s="62">
        <f t="shared" si="36"/>
        <v>1</v>
      </c>
      <c r="BZ13" s="64">
        <f t="shared" si="37"/>
        <v>0.81901065174219179</v>
      </c>
      <c r="CA13" s="62">
        <f t="shared" si="38"/>
        <v>0.58683791770857008</v>
      </c>
      <c r="CB13" s="62">
        <f t="shared" si="39"/>
        <v>0.72305572565829757</v>
      </c>
      <c r="CC13" s="62">
        <f t="shared" si="40"/>
        <v>1</v>
      </c>
      <c r="CD13" s="62">
        <f t="shared" si="41"/>
        <v>1</v>
      </c>
      <c r="CE13" s="65">
        <f t="shared" si="42"/>
        <v>0.75428777757718002</v>
      </c>
      <c r="CF13" s="62">
        <f t="shared" si="43"/>
        <v>0.45669470334166856</v>
      </c>
      <c r="CG13" s="62">
        <f t="shared" si="44"/>
        <v>0.61099203919167178</v>
      </c>
      <c r="CH13" s="62">
        <f t="shared" si="45"/>
        <v>0.98985650667986147</v>
      </c>
      <c r="CI13" s="62">
        <f t="shared" si="46"/>
        <v>0.94791666666666663</v>
      </c>
      <c r="CJ13" s="66">
        <f t="shared" si="47"/>
        <v>0.66117530240115541</v>
      </c>
      <c r="CK13" s="62">
        <f t="shared" si="48"/>
        <v>0.64148101841327576</v>
      </c>
      <c r="CL13" s="62">
        <f t="shared" si="48"/>
        <v>0.75516687078995703</v>
      </c>
      <c r="CM13" s="62">
        <f t="shared" si="48"/>
        <v>0.99746412666996531</v>
      </c>
      <c r="CN13" s="62">
        <f t="shared" si="48"/>
        <v>0.98697916666666663</v>
      </c>
      <c r="CO13" s="67">
        <f t="shared" si="49"/>
        <v>0.78335439610037916</v>
      </c>
      <c r="CP13" s="48"/>
    </row>
    <row r="14" spans="1:94" ht="30.75" customHeight="1" x14ac:dyDescent="0.3">
      <c r="A14" s="49">
        <v>10</v>
      </c>
      <c r="B14" s="50" t="s">
        <v>41</v>
      </c>
      <c r="C14" s="50" t="s">
        <v>46</v>
      </c>
      <c r="D14" s="51">
        <v>46143</v>
      </c>
      <c r="E14" s="52">
        <v>24</v>
      </c>
      <c r="F14" s="52">
        <v>24</v>
      </c>
      <c r="G14" s="53">
        <f t="shared" si="1"/>
        <v>1</v>
      </c>
      <c r="H14" s="52">
        <v>2539</v>
      </c>
      <c r="I14" s="52">
        <v>2536</v>
      </c>
      <c r="J14" s="52">
        <v>2399</v>
      </c>
      <c r="K14" s="52">
        <v>2323</v>
      </c>
      <c r="L14" s="54">
        <f t="shared" si="3"/>
        <v>9797</v>
      </c>
      <c r="M14" s="52">
        <v>2130</v>
      </c>
      <c r="N14" s="52">
        <v>2300</v>
      </c>
      <c r="O14" s="52">
        <v>2224</v>
      </c>
      <c r="P14" s="52">
        <v>2202</v>
      </c>
      <c r="Q14" s="54">
        <f t="shared" si="5"/>
        <v>8856</v>
      </c>
      <c r="R14" s="52">
        <v>76</v>
      </c>
      <c r="S14" s="52">
        <v>12</v>
      </c>
      <c r="T14" s="52">
        <v>0</v>
      </c>
      <c r="U14" s="52">
        <v>0</v>
      </c>
      <c r="V14" s="55">
        <f t="shared" si="7"/>
        <v>88</v>
      </c>
      <c r="W14" s="52">
        <v>207</v>
      </c>
      <c r="X14" s="52">
        <v>77</v>
      </c>
      <c r="Y14" s="52">
        <v>26</v>
      </c>
      <c r="Z14" s="52">
        <v>3</v>
      </c>
      <c r="AA14" s="55">
        <f t="shared" si="9"/>
        <v>313</v>
      </c>
      <c r="AB14" s="52">
        <v>743</v>
      </c>
      <c r="AC14" s="52">
        <v>748</v>
      </c>
      <c r="AD14" s="52">
        <v>357</v>
      </c>
      <c r="AE14" s="52">
        <v>119</v>
      </c>
      <c r="AF14" s="55">
        <f t="shared" si="11"/>
        <v>1967</v>
      </c>
      <c r="AG14" s="52">
        <v>1076</v>
      </c>
      <c r="AH14" s="52">
        <v>1446</v>
      </c>
      <c r="AI14" s="52">
        <v>1778</v>
      </c>
      <c r="AJ14" s="52">
        <v>1950</v>
      </c>
      <c r="AK14" s="55">
        <f t="shared" si="13"/>
        <v>6250</v>
      </c>
      <c r="AL14" s="56">
        <f t="shared" si="14"/>
        <v>0.34882629107981222</v>
      </c>
      <c r="AM14" s="56">
        <f t="shared" si="15"/>
        <v>0.32521739130434785</v>
      </c>
      <c r="AN14" s="56">
        <f t="shared" si="16"/>
        <v>0.16052158273381295</v>
      </c>
      <c r="AO14" s="56">
        <f t="shared" si="17"/>
        <v>5.4041780199818347E-2</v>
      </c>
      <c r="AP14" s="57">
        <f t="shared" si="18"/>
        <v>0.22210930442637761</v>
      </c>
      <c r="AQ14" s="56">
        <f t="shared" si="19"/>
        <v>0.50516431924882632</v>
      </c>
      <c r="AR14" s="56">
        <f t="shared" si="20"/>
        <v>0.62869565217391299</v>
      </c>
      <c r="AS14" s="56">
        <f t="shared" si="21"/>
        <v>0.79946043165467628</v>
      </c>
      <c r="AT14" s="56">
        <f t="shared" si="22"/>
        <v>0.88555858310626701</v>
      </c>
      <c r="AU14" s="57">
        <f t="shared" si="23"/>
        <v>0.70573622402890701</v>
      </c>
      <c r="AV14" s="52">
        <v>1463</v>
      </c>
      <c r="AW14" s="52">
        <v>1794</v>
      </c>
      <c r="AX14" s="52">
        <v>1805</v>
      </c>
      <c r="AY14" s="52">
        <v>2004</v>
      </c>
      <c r="AZ14" s="58">
        <f t="shared" si="25"/>
        <v>7066</v>
      </c>
      <c r="BA14" s="52">
        <v>1192</v>
      </c>
      <c r="BB14" s="52">
        <v>1417</v>
      </c>
      <c r="BC14" s="52">
        <v>1605</v>
      </c>
      <c r="BD14" s="52">
        <v>1790</v>
      </c>
      <c r="BE14" s="59">
        <f t="shared" si="27"/>
        <v>6004</v>
      </c>
      <c r="BF14" s="52">
        <v>827</v>
      </c>
      <c r="BG14" s="52">
        <v>1191</v>
      </c>
      <c r="BH14" s="52">
        <v>1580</v>
      </c>
      <c r="BI14" s="52">
        <v>1785</v>
      </c>
      <c r="BJ14" s="60">
        <f t="shared" si="29"/>
        <v>5383</v>
      </c>
      <c r="BK14" s="52">
        <v>541</v>
      </c>
      <c r="BL14" s="52">
        <v>712</v>
      </c>
      <c r="BM14" s="52">
        <v>1017</v>
      </c>
      <c r="BN14" s="52">
        <v>1490</v>
      </c>
      <c r="BO14" s="55">
        <f t="shared" si="31"/>
        <v>3760</v>
      </c>
      <c r="BP14" s="61"/>
      <c r="BQ14" s="62">
        <f t="shared" si="51"/>
        <v>0.68685446009389672</v>
      </c>
      <c r="BR14" s="62">
        <f t="shared" si="52"/>
        <v>0.78</v>
      </c>
      <c r="BS14" s="62">
        <f t="shared" si="53"/>
        <v>0.81160071942446044</v>
      </c>
      <c r="BT14" s="62">
        <f t="shared" si="54"/>
        <v>0.91008174386920981</v>
      </c>
      <c r="BU14" s="63">
        <f t="shared" si="32"/>
        <v>0.79787714543812105</v>
      </c>
      <c r="BV14" s="62">
        <f t="shared" si="33"/>
        <v>0.5596244131455399</v>
      </c>
      <c r="BW14" s="62">
        <f t="shared" si="34"/>
        <v>0.61608695652173917</v>
      </c>
      <c r="BX14" s="62">
        <f t="shared" si="35"/>
        <v>0.72167266187050361</v>
      </c>
      <c r="BY14" s="62">
        <f t="shared" si="36"/>
        <v>0.81289736603088103</v>
      </c>
      <c r="BZ14" s="64">
        <f t="shared" si="37"/>
        <v>0.67795844625112922</v>
      </c>
      <c r="CA14" s="62">
        <f t="shared" si="38"/>
        <v>0.38826291079812209</v>
      </c>
      <c r="CB14" s="62">
        <f t="shared" si="39"/>
        <v>0.51782608695652177</v>
      </c>
      <c r="CC14" s="62">
        <f t="shared" si="40"/>
        <v>0.71043165467625902</v>
      </c>
      <c r="CD14" s="62">
        <f t="shared" si="41"/>
        <v>0.81062670299727524</v>
      </c>
      <c r="CE14" s="65">
        <f t="shared" si="42"/>
        <v>0.60783649503161696</v>
      </c>
      <c r="CF14" s="62">
        <f t="shared" si="43"/>
        <v>0.25399061032863851</v>
      </c>
      <c r="CG14" s="62">
        <f t="shared" si="44"/>
        <v>0.30956521739130433</v>
      </c>
      <c r="CH14" s="62">
        <f t="shared" si="45"/>
        <v>0.45728417266187049</v>
      </c>
      <c r="CI14" s="62">
        <f t="shared" si="46"/>
        <v>0.67665758401453224</v>
      </c>
      <c r="CJ14" s="66">
        <f t="shared" si="47"/>
        <v>0.42457091237579042</v>
      </c>
      <c r="CK14" s="62">
        <f t="shared" si="48"/>
        <v>0.47218309859154928</v>
      </c>
      <c r="CL14" s="62">
        <f t="shared" si="48"/>
        <v>0.55586956521739128</v>
      </c>
      <c r="CM14" s="62">
        <f t="shared" si="48"/>
        <v>0.67524730215827333</v>
      </c>
      <c r="CN14" s="62">
        <f t="shared" si="48"/>
        <v>0.80256584922797458</v>
      </c>
      <c r="CO14" s="67">
        <f t="shared" si="49"/>
        <v>0.62706074977416437</v>
      </c>
      <c r="CP14" s="48"/>
    </row>
    <row r="15" spans="1:94" ht="30.75" customHeight="1" x14ac:dyDescent="0.3">
      <c r="A15" s="49">
        <v>11</v>
      </c>
      <c r="B15" s="50" t="s">
        <v>41</v>
      </c>
      <c r="C15" s="50" t="s">
        <v>47</v>
      </c>
      <c r="D15" s="51">
        <v>46144</v>
      </c>
      <c r="E15" s="52">
        <v>310</v>
      </c>
      <c r="F15" s="52">
        <v>306</v>
      </c>
      <c r="G15" s="53">
        <f t="shared" si="1"/>
        <v>0.98709677419354835</v>
      </c>
      <c r="H15" s="52">
        <v>10746</v>
      </c>
      <c r="I15" s="52">
        <v>9273</v>
      </c>
      <c r="J15" s="52">
        <v>6507</v>
      </c>
      <c r="K15" s="52">
        <v>4708</v>
      </c>
      <c r="L15" s="54">
        <f t="shared" si="3"/>
        <v>31234</v>
      </c>
      <c r="M15" s="52">
        <v>9690</v>
      </c>
      <c r="N15" s="52">
        <v>8571</v>
      </c>
      <c r="O15" s="52">
        <v>6037</v>
      </c>
      <c r="P15" s="52">
        <v>4471</v>
      </c>
      <c r="Q15" s="54">
        <f t="shared" si="5"/>
        <v>28769</v>
      </c>
      <c r="R15" s="52">
        <v>385</v>
      </c>
      <c r="S15" s="52">
        <v>190</v>
      </c>
      <c r="T15" s="52">
        <v>100</v>
      </c>
      <c r="U15" s="52">
        <v>68</v>
      </c>
      <c r="V15" s="55">
        <f t="shared" si="7"/>
        <v>743</v>
      </c>
      <c r="W15" s="52">
        <v>1496</v>
      </c>
      <c r="X15" s="52">
        <v>578</v>
      </c>
      <c r="Y15" s="52">
        <v>227</v>
      </c>
      <c r="Z15" s="52">
        <v>155</v>
      </c>
      <c r="AA15" s="55">
        <f t="shared" si="9"/>
        <v>2456</v>
      </c>
      <c r="AB15" s="52">
        <v>3577</v>
      </c>
      <c r="AC15" s="52">
        <v>2533</v>
      </c>
      <c r="AD15" s="52">
        <v>821</v>
      </c>
      <c r="AE15" s="52">
        <v>326</v>
      </c>
      <c r="AF15" s="55">
        <f t="shared" si="11"/>
        <v>7257</v>
      </c>
      <c r="AG15" s="52">
        <v>4232</v>
      </c>
      <c r="AH15" s="52">
        <v>5270</v>
      </c>
      <c r="AI15" s="52">
        <v>4889</v>
      </c>
      <c r="AJ15" s="52">
        <v>3922</v>
      </c>
      <c r="AK15" s="55">
        <f t="shared" si="13"/>
        <v>18313</v>
      </c>
      <c r="AL15" s="56">
        <f t="shared" si="14"/>
        <v>0.36914344685242517</v>
      </c>
      <c r="AM15" s="56">
        <f t="shared" si="15"/>
        <v>0.29553144323882863</v>
      </c>
      <c r="AN15" s="56">
        <f t="shared" si="16"/>
        <v>0.13599469935398376</v>
      </c>
      <c r="AO15" s="56">
        <f t="shared" si="17"/>
        <v>7.2914336837396551E-2</v>
      </c>
      <c r="AP15" s="57">
        <f t="shared" si="18"/>
        <v>0.25225068650283289</v>
      </c>
      <c r="AQ15" s="56">
        <f t="shared" si="19"/>
        <v>0.43673890608875127</v>
      </c>
      <c r="AR15" s="56">
        <f t="shared" si="20"/>
        <v>0.61486407653716024</v>
      </c>
      <c r="AS15" s="56">
        <f t="shared" si="21"/>
        <v>0.80983932416763293</v>
      </c>
      <c r="AT15" s="56">
        <f t="shared" si="22"/>
        <v>0.87720867814806536</v>
      </c>
      <c r="AU15" s="57">
        <f t="shared" si="23"/>
        <v>0.63655323438423306</v>
      </c>
      <c r="AV15" s="52">
        <v>7737</v>
      </c>
      <c r="AW15" s="52">
        <v>6318</v>
      </c>
      <c r="AX15" s="52">
        <v>5268</v>
      </c>
      <c r="AY15" s="52">
        <v>4146</v>
      </c>
      <c r="AZ15" s="58">
        <f t="shared" si="25"/>
        <v>23469</v>
      </c>
      <c r="BA15" s="52">
        <v>4542</v>
      </c>
      <c r="BB15" s="52">
        <v>5096</v>
      </c>
      <c r="BC15" s="52">
        <v>4524</v>
      </c>
      <c r="BD15" s="52">
        <v>3912</v>
      </c>
      <c r="BE15" s="59">
        <f t="shared" si="27"/>
        <v>18074</v>
      </c>
      <c r="BF15" s="52">
        <v>2981</v>
      </c>
      <c r="BG15" s="52">
        <v>4078</v>
      </c>
      <c r="BH15" s="52">
        <v>3982</v>
      </c>
      <c r="BI15" s="52">
        <v>3589</v>
      </c>
      <c r="BJ15" s="60">
        <f t="shared" si="29"/>
        <v>14630</v>
      </c>
      <c r="BK15" s="52">
        <v>2090</v>
      </c>
      <c r="BL15" s="52">
        <v>2917</v>
      </c>
      <c r="BM15" s="52">
        <v>2940</v>
      </c>
      <c r="BN15" s="52">
        <v>3123</v>
      </c>
      <c r="BO15" s="55">
        <f t="shared" si="31"/>
        <v>11070</v>
      </c>
      <c r="BP15" s="61"/>
      <c r="BQ15" s="62">
        <f t="shared" si="51"/>
        <v>0.79845201238390096</v>
      </c>
      <c r="BR15" s="62">
        <f t="shared" si="52"/>
        <v>0.73713685684284214</v>
      </c>
      <c r="BS15" s="62">
        <f t="shared" si="53"/>
        <v>0.87261885042239518</v>
      </c>
      <c r="BT15" s="62">
        <f t="shared" si="54"/>
        <v>0.92730932677253408</v>
      </c>
      <c r="BU15" s="63">
        <f t="shared" si="32"/>
        <v>0.81577392332024057</v>
      </c>
      <c r="BV15" s="62">
        <f t="shared" si="33"/>
        <v>0.46873065015479876</v>
      </c>
      <c r="BW15" s="62">
        <f t="shared" si="34"/>
        <v>0.5945630614864077</v>
      </c>
      <c r="BX15" s="62">
        <f t="shared" si="35"/>
        <v>0.74937883054497267</v>
      </c>
      <c r="BY15" s="62">
        <f t="shared" si="36"/>
        <v>0.87497204204875867</v>
      </c>
      <c r="BZ15" s="64">
        <f t="shared" si="37"/>
        <v>0.62824568111508916</v>
      </c>
      <c r="CA15" s="62">
        <f t="shared" si="38"/>
        <v>0.30763673890608872</v>
      </c>
      <c r="CB15" s="62">
        <f t="shared" si="39"/>
        <v>0.47579045618947613</v>
      </c>
      <c r="CC15" s="62">
        <f t="shared" si="40"/>
        <v>0.6595991386450224</v>
      </c>
      <c r="CD15" s="62">
        <f t="shared" si="41"/>
        <v>0.80272869604115415</v>
      </c>
      <c r="CE15" s="65">
        <f t="shared" si="42"/>
        <v>0.50853349091035494</v>
      </c>
      <c r="CF15" s="62">
        <f t="shared" si="43"/>
        <v>0.21568627450980393</v>
      </c>
      <c r="CG15" s="62">
        <f t="shared" si="44"/>
        <v>0.34033368335083419</v>
      </c>
      <c r="CH15" s="62">
        <f t="shared" si="45"/>
        <v>0.48699685274142784</v>
      </c>
      <c r="CI15" s="62">
        <f t="shared" si="46"/>
        <v>0.69850145381346451</v>
      </c>
      <c r="CJ15" s="66">
        <f t="shared" si="47"/>
        <v>0.38478918280093155</v>
      </c>
      <c r="CK15" s="62">
        <f t="shared" si="48"/>
        <v>0.44762641898864808</v>
      </c>
      <c r="CL15" s="62">
        <f t="shared" si="48"/>
        <v>0.53695601446739005</v>
      </c>
      <c r="CM15" s="62">
        <f t="shared" si="48"/>
        <v>0.6921484180884544</v>
      </c>
      <c r="CN15" s="62">
        <f t="shared" si="48"/>
        <v>0.82587787966897785</v>
      </c>
      <c r="CO15" s="67">
        <f t="shared" si="49"/>
        <v>0.58433556953665411</v>
      </c>
      <c r="CP15" s="48"/>
    </row>
    <row r="16" spans="1:94" ht="30.75" customHeight="1" x14ac:dyDescent="0.3">
      <c r="A16" s="49">
        <v>12</v>
      </c>
      <c r="B16" s="50" t="s">
        <v>41</v>
      </c>
      <c r="C16" s="50" t="s">
        <v>48</v>
      </c>
      <c r="D16" s="51">
        <v>46145</v>
      </c>
      <c r="E16" s="52">
        <v>252</v>
      </c>
      <c r="F16" s="52">
        <v>243</v>
      </c>
      <c r="G16" s="53">
        <f t="shared" si="1"/>
        <v>0.9642857142857143</v>
      </c>
      <c r="H16" s="52">
        <v>9051</v>
      </c>
      <c r="I16" s="52">
        <v>7328</v>
      </c>
      <c r="J16" s="52">
        <v>5056</v>
      </c>
      <c r="K16" s="52">
        <v>3436</v>
      </c>
      <c r="L16" s="54">
        <f t="shared" si="3"/>
        <v>24871</v>
      </c>
      <c r="M16" s="52">
        <v>8360</v>
      </c>
      <c r="N16" s="52">
        <v>6779</v>
      </c>
      <c r="O16" s="52">
        <v>4795</v>
      </c>
      <c r="P16" s="52">
        <v>3281</v>
      </c>
      <c r="Q16" s="54">
        <f t="shared" si="5"/>
        <v>23215</v>
      </c>
      <c r="R16" s="52">
        <v>207</v>
      </c>
      <c r="S16" s="52">
        <v>30</v>
      </c>
      <c r="T16" s="52">
        <v>1</v>
      </c>
      <c r="U16" s="52">
        <v>0</v>
      </c>
      <c r="V16" s="55">
        <f t="shared" si="7"/>
        <v>238</v>
      </c>
      <c r="W16" s="52">
        <v>1254</v>
      </c>
      <c r="X16" s="52">
        <v>550</v>
      </c>
      <c r="Y16" s="52">
        <v>90</v>
      </c>
      <c r="Z16" s="52">
        <v>2</v>
      </c>
      <c r="AA16" s="55">
        <f t="shared" si="9"/>
        <v>1896</v>
      </c>
      <c r="AB16" s="52">
        <v>3109</v>
      </c>
      <c r="AC16" s="52">
        <v>2006</v>
      </c>
      <c r="AD16" s="52">
        <v>847</v>
      </c>
      <c r="AE16" s="52">
        <v>204</v>
      </c>
      <c r="AF16" s="55">
        <f t="shared" si="11"/>
        <v>6166</v>
      </c>
      <c r="AG16" s="52">
        <v>3790</v>
      </c>
      <c r="AH16" s="52">
        <v>4193</v>
      </c>
      <c r="AI16" s="52">
        <v>3857</v>
      </c>
      <c r="AJ16" s="52">
        <v>3075</v>
      </c>
      <c r="AK16" s="55">
        <f t="shared" si="13"/>
        <v>14915</v>
      </c>
      <c r="AL16" s="56">
        <f t="shared" si="14"/>
        <v>0.37188995215311005</v>
      </c>
      <c r="AM16" s="56">
        <f t="shared" si="15"/>
        <v>0.29591385160053107</v>
      </c>
      <c r="AN16" s="56">
        <f t="shared" si="16"/>
        <v>0.17664233576642335</v>
      </c>
      <c r="AO16" s="56">
        <f t="shared" si="17"/>
        <v>6.2176165803108807E-2</v>
      </c>
      <c r="AP16" s="57">
        <f t="shared" si="18"/>
        <v>0.26560413525737669</v>
      </c>
      <c r="AQ16" s="56">
        <f t="shared" si="19"/>
        <v>0.45334928229665072</v>
      </c>
      <c r="AR16" s="56">
        <f t="shared" si="20"/>
        <v>0.61852780646112993</v>
      </c>
      <c r="AS16" s="56">
        <f t="shared" si="21"/>
        <v>0.80437956204379557</v>
      </c>
      <c r="AT16" s="56">
        <f t="shared" si="22"/>
        <v>0.93721426394391949</v>
      </c>
      <c r="AU16" s="57">
        <f t="shared" si="23"/>
        <v>0.64247253930648285</v>
      </c>
      <c r="AV16" s="52">
        <v>7427</v>
      </c>
      <c r="AW16" s="52">
        <v>6030</v>
      </c>
      <c r="AX16" s="52">
        <v>4267</v>
      </c>
      <c r="AY16" s="52">
        <v>2936</v>
      </c>
      <c r="AZ16" s="58">
        <f t="shared" si="25"/>
        <v>20660</v>
      </c>
      <c r="BA16" s="52">
        <v>6580</v>
      </c>
      <c r="BB16" s="52">
        <v>5393</v>
      </c>
      <c r="BC16" s="52">
        <v>3788</v>
      </c>
      <c r="BD16" s="52">
        <v>2606</v>
      </c>
      <c r="BE16" s="59">
        <f t="shared" si="27"/>
        <v>18367</v>
      </c>
      <c r="BF16" s="52">
        <v>5073</v>
      </c>
      <c r="BG16" s="52">
        <v>4675</v>
      </c>
      <c r="BH16" s="52">
        <v>3625</v>
      </c>
      <c r="BI16" s="52">
        <v>2896</v>
      </c>
      <c r="BJ16" s="60">
        <f t="shared" si="29"/>
        <v>16269</v>
      </c>
      <c r="BK16" s="52">
        <v>5422</v>
      </c>
      <c r="BL16" s="52">
        <v>4420</v>
      </c>
      <c r="BM16" s="52">
        <v>3118</v>
      </c>
      <c r="BN16" s="52">
        <v>2142</v>
      </c>
      <c r="BO16" s="55">
        <f t="shared" si="31"/>
        <v>15102</v>
      </c>
      <c r="BP16" s="61"/>
      <c r="BQ16" s="62">
        <f t="shared" si="51"/>
        <v>0.88839712918660285</v>
      </c>
      <c r="BR16" s="62">
        <f t="shared" si="52"/>
        <v>0.88951172739342088</v>
      </c>
      <c r="BS16" s="62">
        <f t="shared" si="53"/>
        <v>0.88988529718456721</v>
      </c>
      <c r="BT16" s="62">
        <f t="shared" si="54"/>
        <v>0.89484913136238953</v>
      </c>
      <c r="BU16" s="63">
        <f t="shared" si="32"/>
        <v>0.88994184794314024</v>
      </c>
      <c r="BV16" s="62">
        <f t="shared" si="33"/>
        <v>0.78708133971291872</v>
      </c>
      <c r="BW16" s="62">
        <f t="shared" si="34"/>
        <v>0.79554506564390026</v>
      </c>
      <c r="BX16" s="62">
        <f t="shared" si="35"/>
        <v>0.78998957247132429</v>
      </c>
      <c r="BY16" s="62">
        <f t="shared" si="36"/>
        <v>0.79427003962206644</v>
      </c>
      <c r="BZ16" s="64">
        <f t="shared" si="37"/>
        <v>0.79116950247684692</v>
      </c>
      <c r="CA16" s="62">
        <f t="shared" si="38"/>
        <v>0.60681818181818181</v>
      </c>
      <c r="CB16" s="62">
        <f t="shared" si="39"/>
        <v>0.68962973889954271</v>
      </c>
      <c r="CC16" s="62">
        <f t="shared" si="40"/>
        <v>0.75599582898852968</v>
      </c>
      <c r="CD16" s="62">
        <f t="shared" si="41"/>
        <v>0.88265772630295647</v>
      </c>
      <c r="CE16" s="65">
        <f t="shared" si="42"/>
        <v>0.70079689855696747</v>
      </c>
      <c r="CF16" s="62">
        <f t="shared" si="43"/>
        <v>0.64856459330143545</v>
      </c>
      <c r="CG16" s="62">
        <f t="shared" si="44"/>
        <v>0.65201357132320403</v>
      </c>
      <c r="CH16" s="62">
        <f t="shared" si="45"/>
        <v>0.65026068821689265</v>
      </c>
      <c r="CI16" s="62">
        <f t="shared" si="46"/>
        <v>0.65284974093264247</v>
      </c>
      <c r="CJ16" s="66">
        <f t="shared" si="47"/>
        <v>0.65052767607150552</v>
      </c>
      <c r="CK16" s="62">
        <f t="shared" si="48"/>
        <v>0.73271531100478471</v>
      </c>
      <c r="CL16" s="62">
        <f t="shared" si="48"/>
        <v>0.756675025815017</v>
      </c>
      <c r="CM16" s="62">
        <f t="shared" si="48"/>
        <v>0.77153284671532851</v>
      </c>
      <c r="CN16" s="62">
        <f t="shared" si="48"/>
        <v>0.8061566595550137</v>
      </c>
      <c r="CO16" s="67">
        <f t="shared" si="49"/>
        <v>0.7581089812621149</v>
      </c>
      <c r="CP16" s="48"/>
    </row>
    <row r="17" spans="1:94" ht="30.75" customHeight="1" x14ac:dyDescent="0.3">
      <c r="A17" s="36" t="s">
        <v>49</v>
      </c>
      <c r="B17" s="37"/>
      <c r="C17" s="38"/>
      <c r="D17" s="39"/>
      <c r="E17" s="40">
        <f t="shared" ref="E17:F17" si="66">SUM(E18:E20)</f>
        <v>532</v>
      </c>
      <c r="F17" s="40">
        <f t="shared" si="66"/>
        <v>483</v>
      </c>
      <c r="G17" s="41">
        <f t="shared" si="1"/>
        <v>0.90789473684210531</v>
      </c>
      <c r="H17" s="40">
        <f t="shared" ref="H17:K17" si="67">SUM(H18:H20)</f>
        <v>15708</v>
      </c>
      <c r="I17" s="40">
        <f t="shared" si="67"/>
        <v>13352</v>
      </c>
      <c r="J17" s="40">
        <f t="shared" si="67"/>
        <v>8986</v>
      </c>
      <c r="K17" s="40">
        <f t="shared" si="67"/>
        <v>7179</v>
      </c>
      <c r="L17" s="42">
        <f t="shared" si="3"/>
        <v>45225</v>
      </c>
      <c r="M17" s="40">
        <f t="shared" ref="M17:P17" si="68">SUM(M18:M20)</f>
        <v>13843</v>
      </c>
      <c r="N17" s="40">
        <f t="shared" si="68"/>
        <v>11792</v>
      </c>
      <c r="O17" s="40">
        <f t="shared" si="68"/>
        <v>7787</v>
      </c>
      <c r="P17" s="40">
        <f t="shared" si="68"/>
        <v>6231</v>
      </c>
      <c r="Q17" s="42">
        <f t="shared" si="5"/>
        <v>39653</v>
      </c>
      <c r="R17" s="40">
        <f t="shared" ref="R17:U17" si="69">SUM(R18:R20)</f>
        <v>1154</v>
      </c>
      <c r="S17" s="40">
        <f t="shared" si="69"/>
        <v>573</v>
      </c>
      <c r="T17" s="40">
        <f t="shared" si="69"/>
        <v>258</v>
      </c>
      <c r="U17" s="40">
        <f t="shared" si="69"/>
        <v>221</v>
      </c>
      <c r="V17" s="43">
        <f t="shared" si="7"/>
        <v>2206</v>
      </c>
      <c r="W17" s="40">
        <f t="shared" ref="W17:Z17" si="70">SUM(W18:W20)</f>
        <v>2262</v>
      </c>
      <c r="X17" s="40">
        <f t="shared" si="70"/>
        <v>1570</v>
      </c>
      <c r="Y17" s="40">
        <f t="shared" si="70"/>
        <v>727</v>
      </c>
      <c r="Z17" s="40">
        <f t="shared" si="70"/>
        <v>576</v>
      </c>
      <c r="AA17" s="43">
        <f t="shared" si="9"/>
        <v>5135</v>
      </c>
      <c r="AB17" s="40">
        <f t="shared" ref="AB17:AE17" si="71">SUM(AB18:AB20)</f>
        <v>4771</v>
      </c>
      <c r="AC17" s="40">
        <f t="shared" si="71"/>
        <v>3518</v>
      </c>
      <c r="AD17" s="40">
        <f t="shared" si="71"/>
        <v>1910</v>
      </c>
      <c r="AE17" s="40">
        <f t="shared" si="71"/>
        <v>1199</v>
      </c>
      <c r="AF17" s="43">
        <f t="shared" si="11"/>
        <v>11398</v>
      </c>
      <c r="AG17" s="40">
        <f t="shared" ref="AG17:AJ17" si="72">SUM(AG18:AG20)</f>
        <v>5656</v>
      </c>
      <c r="AH17" s="40">
        <f t="shared" si="72"/>
        <v>6131</v>
      </c>
      <c r="AI17" s="40">
        <f t="shared" si="72"/>
        <v>4892</v>
      </c>
      <c r="AJ17" s="40">
        <f t="shared" si="72"/>
        <v>4235</v>
      </c>
      <c r="AK17" s="43">
        <f t="shared" si="13"/>
        <v>20914</v>
      </c>
      <c r="AL17" s="44">
        <f t="shared" si="14"/>
        <v>0.34465072599869973</v>
      </c>
      <c r="AM17" s="44">
        <f t="shared" si="15"/>
        <v>0.29833785617367709</v>
      </c>
      <c r="AN17" s="44">
        <f t="shared" si="16"/>
        <v>0.24528059586490306</v>
      </c>
      <c r="AO17" s="44">
        <f t="shared" si="17"/>
        <v>0.19242497191462044</v>
      </c>
      <c r="AP17" s="44">
        <f t="shared" si="18"/>
        <v>0.28744357299573803</v>
      </c>
      <c r="AQ17" s="44">
        <f t="shared" si="19"/>
        <v>0.40858195477858844</v>
      </c>
      <c r="AR17" s="44">
        <f t="shared" si="20"/>
        <v>0.5199287652645862</v>
      </c>
      <c r="AS17" s="44">
        <f t="shared" si="21"/>
        <v>0.62822653139848461</v>
      </c>
      <c r="AT17" s="44">
        <f t="shared" si="22"/>
        <v>0.67966618520301714</v>
      </c>
      <c r="AU17" s="44">
        <f t="shared" si="23"/>
        <v>0.52742541547928279</v>
      </c>
      <c r="AV17" s="40">
        <f t="shared" ref="AV17:AY17" si="73">SUM(AV18:AV20)</f>
        <v>10204</v>
      </c>
      <c r="AW17" s="40">
        <f t="shared" si="73"/>
        <v>8935</v>
      </c>
      <c r="AX17" s="40">
        <f t="shared" si="73"/>
        <v>6011</v>
      </c>
      <c r="AY17" s="40">
        <f t="shared" si="73"/>
        <v>4868</v>
      </c>
      <c r="AZ17" s="43">
        <f t="shared" si="25"/>
        <v>30018</v>
      </c>
      <c r="BA17" s="40">
        <f t="shared" ref="BA17:BD17" si="74">SUM(BA18:BA20)</f>
        <v>9719</v>
      </c>
      <c r="BB17" s="40">
        <f t="shared" si="74"/>
        <v>8568</v>
      </c>
      <c r="BC17" s="40">
        <f t="shared" si="74"/>
        <v>5600</v>
      </c>
      <c r="BD17" s="40">
        <f t="shared" si="74"/>
        <v>4623</v>
      </c>
      <c r="BE17" s="43">
        <f t="shared" si="27"/>
        <v>28510</v>
      </c>
      <c r="BF17" s="40">
        <f t="shared" ref="BF17:BI17" si="75">SUM(BF18:BF20)</f>
        <v>9389</v>
      </c>
      <c r="BG17" s="40">
        <f t="shared" si="75"/>
        <v>8003</v>
      </c>
      <c r="BH17" s="40">
        <f t="shared" si="75"/>
        <v>5270</v>
      </c>
      <c r="BI17" s="40">
        <f t="shared" si="75"/>
        <v>4367</v>
      </c>
      <c r="BJ17" s="43">
        <f t="shared" si="29"/>
        <v>27029</v>
      </c>
      <c r="BK17" s="40">
        <f t="shared" ref="BK17:BN17" si="76">SUM(BK18:BK20)</f>
        <v>8512</v>
      </c>
      <c r="BL17" s="40">
        <f t="shared" si="76"/>
        <v>7570</v>
      </c>
      <c r="BM17" s="40">
        <f t="shared" si="76"/>
        <v>5226</v>
      </c>
      <c r="BN17" s="40">
        <f t="shared" si="76"/>
        <v>4458</v>
      </c>
      <c r="BO17" s="43">
        <f t="shared" si="31"/>
        <v>25766</v>
      </c>
      <c r="BP17" s="45"/>
      <c r="BQ17" s="46">
        <f t="shared" si="51"/>
        <v>0.73712345589828798</v>
      </c>
      <c r="BR17" s="46">
        <f t="shared" si="52"/>
        <v>0.75771709633649931</v>
      </c>
      <c r="BS17" s="46">
        <f t="shared" si="53"/>
        <v>0.77192757159368175</v>
      </c>
      <c r="BT17" s="46">
        <f t="shared" si="54"/>
        <v>0.78125501524634888</v>
      </c>
      <c r="BU17" s="46">
        <f t="shared" si="32"/>
        <v>0.7570171235467682</v>
      </c>
      <c r="BV17" s="46">
        <f t="shared" si="33"/>
        <v>0.7020876977533772</v>
      </c>
      <c r="BW17" s="46">
        <f t="shared" si="34"/>
        <v>0.72659430122116686</v>
      </c>
      <c r="BX17" s="46">
        <f t="shared" si="35"/>
        <v>0.7191472967766791</v>
      </c>
      <c r="BY17" s="46">
        <f t="shared" si="36"/>
        <v>0.74193548387096775</v>
      </c>
      <c r="BZ17" s="47">
        <f t="shared" si="37"/>
        <v>0.71898721408216271</v>
      </c>
      <c r="CA17" s="46">
        <f t="shared" si="38"/>
        <v>0.67824893447952028</v>
      </c>
      <c r="CB17" s="46">
        <f t="shared" si="39"/>
        <v>0.67868046132971505</v>
      </c>
      <c r="CC17" s="46">
        <f t="shared" si="40"/>
        <v>0.67676897393091051</v>
      </c>
      <c r="CD17" s="46">
        <f t="shared" si="41"/>
        <v>0.70085058578077353</v>
      </c>
      <c r="CE17" s="47">
        <f t="shared" si="42"/>
        <v>0.68163821148462911</v>
      </c>
      <c r="CF17" s="46">
        <f t="shared" si="43"/>
        <v>0.61489561511233115</v>
      </c>
      <c r="CG17" s="46">
        <f t="shared" si="44"/>
        <v>0.64196065128900948</v>
      </c>
      <c r="CH17" s="46">
        <f t="shared" si="45"/>
        <v>0.671118530884808</v>
      </c>
      <c r="CI17" s="46">
        <f t="shared" si="46"/>
        <v>0.71545498314877232</v>
      </c>
      <c r="CJ17" s="47">
        <f t="shared" si="47"/>
        <v>0.64978690136937933</v>
      </c>
      <c r="CK17" s="46">
        <f t="shared" si="48"/>
        <v>0.6830889258108791</v>
      </c>
      <c r="CL17" s="46">
        <f t="shared" si="48"/>
        <v>0.70123812754409776</v>
      </c>
      <c r="CM17" s="46">
        <f t="shared" si="48"/>
        <v>0.70974059329651984</v>
      </c>
      <c r="CN17" s="46">
        <f t="shared" si="48"/>
        <v>0.73487401701171562</v>
      </c>
      <c r="CO17" s="47">
        <f t="shared" si="49"/>
        <v>0.70185736262073484</v>
      </c>
      <c r="CP17" s="48"/>
    </row>
    <row r="18" spans="1:94" ht="30.75" customHeight="1" x14ac:dyDescent="0.3">
      <c r="A18" s="49">
        <v>13</v>
      </c>
      <c r="B18" s="50" t="s">
        <v>50</v>
      </c>
      <c r="C18" s="50" t="s">
        <v>51</v>
      </c>
      <c r="D18" s="51">
        <v>46143</v>
      </c>
      <c r="E18" s="73">
        <v>252</v>
      </c>
      <c r="F18" s="74">
        <v>218</v>
      </c>
      <c r="G18" s="53">
        <f t="shared" si="1"/>
        <v>0.86507936507936511</v>
      </c>
      <c r="H18" s="49">
        <v>7946</v>
      </c>
      <c r="I18" s="49">
        <v>6649</v>
      </c>
      <c r="J18" s="49">
        <v>4625</v>
      </c>
      <c r="K18" s="49">
        <v>3037</v>
      </c>
      <c r="L18" s="54">
        <f t="shared" si="3"/>
        <v>22257</v>
      </c>
      <c r="M18" s="52">
        <v>7412</v>
      </c>
      <c r="N18" s="52">
        <v>6256</v>
      </c>
      <c r="O18" s="52">
        <v>4297</v>
      </c>
      <c r="P18" s="52">
        <v>2959</v>
      </c>
      <c r="Q18" s="54">
        <f t="shared" si="5"/>
        <v>20924</v>
      </c>
      <c r="R18" s="52">
        <v>359</v>
      </c>
      <c r="S18" s="52">
        <v>84</v>
      </c>
      <c r="T18" s="52">
        <v>12</v>
      </c>
      <c r="U18" s="52">
        <v>0</v>
      </c>
      <c r="V18" s="55">
        <f t="shared" si="7"/>
        <v>455</v>
      </c>
      <c r="W18" s="52">
        <v>951</v>
      </c>
      <c r="X18" s="52">
        <v>479</v>
      </c>
      <c r="Y18" s="52">
        <v>114</v>
      </c>
      <c r="Z18" s="52">
        <v>23</v>
      </c>
      <c r="AA18" s="55">
        <f t="shared" si="9"/>
        <v>1567</v>
      </c>
      <c r="AB18" s="52">
        <v>2876</v>
      </c>
      <c r="AC18" s="52">
        <v>1756</v>
      </c>
      <c r="AD18" s="52">
        <v>772</v>
      </c>
      <c r="AE18" s="52">
        <v>146</v>
      </c>
      <c r="AF18" s="55">
        <f t="shared" si="11"/>
        <v>5550</v>
      </c>
      <c r="AG18" s="52">
        <v>3226</v>
      </c>
      <c r="AH18" s="52">
        <v>3937</v>
      </c>
      <c r="AI18" s="52">
        <v>3399</v>
      </c>
      <c r="AJ18" s="52">
        <v>2790</v>
      </c>
      <c r="AK18" s="55">
        <f t="shared" si="13"/>
        <v>13352</v>
      </c>
      <c r="AL18" s="56">
        <f t="shared" si="14"/>
        <v>0.38801942795466809</v>
      </c>
      <c r="AM18" s="56">
        <f t="shared" si="15"/>
        <v>0.28069053708439895</v>
      </c>
      <c r="AN18" s="56">
        <f t="shared" si="16"/>
        <v>0.17966022806609264</v>
      </c>
      <c r="AO18" s="56">
        <f t="shared" si="17"/>
        <v>4.9340993578911793E-2</v>
      </c>
      <c r="AP18" s="57">
        <f t="shared" si="18"/>
        <v>0.26524565092716496</v>
      </c>
      <c r="AQ18" s="56">
        <f t="shared" si="19"/>
        <v>0.43524015110631409</v>
      </c>
      <c r="AR18" s="56">
        <f t="shared" si="20"/>
        <v>0.62931585677749358</v>
      </c>
      <c r="AS18" s="56">
        <f t="shared" si="21"/>
        <v>0.79101698859669534</v>
      </c>
      <c r="AT18" s="56">
        <f t="shared" si="22"/>
        <v>0.94288611017235557</v>
      </c>
      <c r="AU18" s="57">
        <f t="shared" si="23"/>
        <v>0.63811890651883008</v>
      </c>
      <c r="AV18" s="52">
        <v>5612</v>
      </c>
      <c r="AW18" s="52">
        <v>4847</v>
      </c>
      <c r="AX18" s="52">
        <v>3344</v>
      </c>
      <c r="AY18" s="52">
        <v>2340</v>
      </c>
      <c r="AZ18" s="58">
        <f t="shared" si="25"/>
        <v>16143</v>
      </c>
      <c r="BA18" s="52">
        <v>5307</v>
      </c>
      <c r="BB18" s="52">
        <v>4628</v>
      </c>
      <c r="BC18" s="52">
        <v>3032</v>
      </c>
      <c r="BD18" s="52">
        <v>2204</v>
      </c>
      <c r="BE18" s="59">
        <f t="shared" si="27"/>
        <v>15171</v>
      </c>
      <c r="BF18" s="52">
        <v>5009</v>
      </c>
      <c r="BG18" s="52">
        <v>4339</v>
      </c>
      <c r="BH18" s="52">
        <v>2915</v>
      </c>
      <c r="BI18" s="52">
        <v>2066</v>
      </c>
      <c r="BJ18" s="60">
        <f t="shared" si="29"/>
        <v>14329</v>
      </c>
      <c r="BK18" s="52">
        <v>4438</v>
      </c>
      <c r="BL18" s="52">
        <v>4055</v>
      </c>
      <c r="BM18" s="52">
        <v>2951</v>
      </c>
      <c r="BN18" s="52">
        <v>2207</v>
      </c>
      <c r="BO18" s="55">
        <f t="shared" si="31"/>
        <v>13651</v>
      </c>
      <c r="BP18" s="61"/>
      <c r="BQ18" s="62">
        <f t="shared" si="51"/>
        <v>0.75715056664867786</v>
      </c>
      <c r="BR18" s="62">
        <f t="shared" si="52"/>
        <v>0.77477621483375958</v>
      </c>
      <c r="BS18" s="62">
        <f t="shared" si="53"/>
        <v>0.77821736094949967</v>
      </c>
      <c r="BT18" s="62">
        <f t="shared" si="54"/>
        <v>0.79080770530584654</v>
      </c>
      <c r="BU18" s="63">
        <f t="shared" si="32"/>
        <v>0.77150640412922955</v>
      </c>
      <c r="BV18" s="62">
        <f t="shared" si="33"/>
        <v>0.71600107933081492</v>
      </c>
      <c r="BW18" s="62">
        <f t="shared" si="34"/>
        <v>0.73976982097186705</v>
      </c>
      <c r="BX18" s="62">
        <f t="shared" si="35"/>
        <v>0.70560856411449846</v>
      </c>
      <c r="BY18" s="62">
        <f t="shared" si="36"/>
        <v>0.74484623183507936</v>
      </c>
      <c r="BZ18" s="64">
        <f t="shared" si="37"/>
        <v>0.7250525712100937</v>
      </c>
      <c r="CA18" s="62">
        <f t="shared" si="38"/>
        <v>0.67579600647598492</v>
      </c>
      <c r="CB18" s="62">
        <f t="shared" si="39"/>
        <v>0.69357416879795397</v>
      </c>
      <c r="CC18" s="62">
        <f t="shared" si="40"/>
        <v>0.67838026530137308</v>
      </c>
      <c r="CD18" s="62">
        <f t="shared" si="41"/>
        <v>0.69820885434268332</v>
      </c>
      <c r="CE18" s="65">
        <f t="shared" si="42"/>
        <v>0.68481169948384635</v>
      </c>
      <c r="CF18" s="62">
        <f t="shared" si="43"/>
        <v>0.598758769562871</v>
      </c>
      <c r="CG18" s="62">
        <f t="shared" si="44"/>
        <v>0.64817774936061379</v>
      </c>
      <c r="CH18" s="62">
        <f t="shared" si="45"/>
        <v>0.68675820339771931</v>
      </c>
      <c r="CI18" s="62">
        <f t="shared" si="46"/>
        <v>0.74586008786752278</v>
      </c>
      <c r="CJ18" s="66">
        <f t="shared" si="47"/>
        <v>0.65240871726247374</v>
      </c>
      <c r="CK18" s="62">
        <f t="shared" si="48"/>
        <v>0.68692660550458717</v>
      </c>
      <c r="CL18" s="62">
        <f t="shared" si="48"/>
        <v>0.7140744884910486</v>
      </c>
      <c r="CM18" s="62">
        <f t="shared" si="48"/>
        <v>0.71224109844077266</v>
      </c>
      <c r="CN18" s="62">
        <f t="shared" si="48"/>
        <v>0.74493071983778303</v>
      </c>
      <c r="CO18" s="67">
        <f t="shared" si="49"/>
        <v>0.70844484802141083</v>
      </c>
      <c r="CP18" s="48"/>
    </row>
    <row r="19" spans="1:94" ht="30.75" customHeight="1" x14ac:dyDescent="0.3">
      <c r="A19" s="49">
        <v>15</v>
      </c>
      <c r="B19" s="50" t="s">
        <v>50</v>
      </c>
      <c r="C19" s="50" t="s">
        <v>52</v>
      </c>
      <c r="D19" s="51">
        <v>46144</v>
      </c>
      <c r="E19" s="74">
        <v>230</v>
      </c>
      <c r="F19" s="74">
        <v>219</v>
      </c>
      <c r="G19" s="53">
        <f t="shared" si="1"/>
        <v>0.95217391304347831</v>
      </c>
      <c r="H19" s="73">
        <v>6363</v>
      </c>
      <c r="I19" s="83">
        <v>5621</v>
      </c>
      <c r="J19" s="83">
        <v>3682</v>
      </c>
      <c r="K19" s="83">
        <v>3756</v>
      </c>
      <c r="L19" s="54">
        <f t="shared" si="3"/>
        <v>19422</v>
      </c>
      <c r="M19" s="70">
        <v>5176</v>
      </c>
      <c r="N19" s="70">
        <v>4557</v>
      </c>
      <c r="O19" s="70">
        <v>2890</v>
      </c>
      <c r="P19" s="70">
        <v>2946</v>
      </c>
      <c r="Q19" s="54">
        <f t="shared" si="5"/>
        <v>15569</v>
      </c>
      <c r="R19" s="70">
        <v>356</v>
      </c>
      <c r="S19" s="70">
        <v>334</v>
      </c>
      <c r="T19" s="70">
        <v>201</v>
      </c>
      <c r="U19" s="70">
        <v>219</v>
      </c>
      <c r="V19" s="55">
        <f t="shared" si="7"/>
        <v>1110</v>
      </c>
      <c r="W19" s="74">
        <v>868</v>
      </c>
      <c r="X19" s="74">
        <v>779</v>
      </c>
      <c r="Y19" s="74">
        <v>488</v>
      </c>
      <c r="Z19" s="74">
        <v>509</v>
      </c>
      <c r="AA19" s="55">
        <f t="shared" si="9"/>
        <v>2644</v>
      </c>
      <c r="AB19" s="74">
        <v>1619</v>
      </c>
      <c r="AC19" s="74">
        <v>1399</v>
      </c>
      <c r="AD19" s="74">
        <v>902</v>
      </c>
      <c r="AE19" s="74">
        <v>934</v>
      </c>
      <c r="AF19" s="55">
        <f t="shared" si="11"/>
        <v>4854</v>
      </c>
      <c r="AG19" s="74">
        <v>2333</v>
      </c>
      <c r="AH19" s="74">
        <v>2045</v>
      </c>
      <c r="AI19" s="74">
        <v>1299</v>
      </c>
      <c r="AJ19" s="74">
        <v>1284</v>
      </c>
      <c r="AK19" s="55">
        <f t="shared" si="13"/>
        <v>6961</v>
      </c>
      <c r="AL19" s="56">
        <f t="shared" si="14"/>
        <v>0.31278979907264298</v>
      </c>
      <c r="AM19" s="56">
        <f t="shared" si="15"/>
        <v>0.30700021944261574</v>
      </c>
      <c r="AN19" s="56">
        <f t="shared" si="16"/>
        <v>0.31211072664359862</v>
      </c>
      <c r="AO19" s="56">
        <f t="shared" si="17"/>
        <v>0.31704005431093008</v>
      </c>
      <c r="AP19" s="57">
        <f t="shared" si="18"/>
        <v>0.311773395850729</v>
      </c>
      <c r="AQ19" s="56">
        <f t="shared" si="19"/>
        <v>0.45073415765069552</v>
      </c>
      <c r="AR19" s="56">
        <f t="shared" si="20"/>
        <v>0.44876014922097873</v>
      </c>
      <c r="AS19" s="56">
        <f t="shared" si="21"/>
        <v>0.44948096885813149</v>
      </c>
      <c r="AT19" s="56">
        <f t="shared" si="22"/>
        <v>0.43584521384928715</v>
      </c>
      <c r="AU19" s="57">
        <f t="shared" si="23"/>
        <v>0.44710642944312418</v>
      </c>
      <c r="AV19" s="74">
        <v>3765</v>
      </c>
      <c r="AW19" s="74">
        <v>3313</v>
      </c>
      <c r="AX19" s="74">
        <v>2129</v>
      </c>
      <c r="AY19" s="74">
        <v>2219</v>
      </c>
      <c r="AZ19" s="58">
        <f t="shared" si="25"/>
        <v>11426</v>
      </c>
      <c r="BA19" s="74">
        <v>3652</v>
      </c>
      <c r="BB19" s="74">
        <v>3191</v>
      </c>
      <c r="BC19" s="74">
        <v>2023</v>
      </c>
      <c r="BD19" s="74">
        <v>2110</v>
      </c>
      <c r="BE19" s="59">
        <f t="shared" si="27"/>
        <v>10976</v>
      </c>
      <c r="BF19" s="74">
        <v>3465</v>
      </c>
      <c r="BG19" s="74">
        <v>2956</v>
      </c>
      <c r="BH19" s="74">
        <v>1909</v>
      </c>
      <c r="BI19" s="74">
        <v>2051</v>
      </c>
      <c r="BJ19" s="60">
        <f t="shared" si="29"/>
        <v>10381</v>
      </c>
      <c r="BK19" s="74">
        <v>3194</v>
      </c>
      <c r="BL19" s="74">
        <v>2832</v>
      </c>
      <c r="BM19" s="74">
        <v>1853</v>
      </c>
      <c r="BN19" s="74">
        <v>2012</v>
      </c>
      <c r="BO19" s="55">
        <f t="shared" si="31"/>
        <v>9891</v>
      </c>
      <c r="BP19" s="61"/>
      <c r="BQ19" s="62">
        <f t="shared" si="51"/>
        <v>0.7273956723338485</v>
      </c>
      <c r="BR19" s="62">
        <f t="shared" si="52"/>
        <v>0.72701338599956111</v>
      </c>
      <c r="BS19" s="62">
        <f t="shared" si="53"/>
        <v>0.73667820069204148</v>
      </c>
      <c r="BT19" s="62">
        <f t="shared" si="54"/>
        <v>0.75322471147318393</v>
      </c>
      <c r="BU19" s="63">
        <f t="shared" si="32"/>
        <v>0.73389427708908728</v>
      </c>
      <c r="BV19" s="62">
        <f t="shared" si="33"/>
        <v>0.70556414219474495</v>
      </c>
      <c r="BW19" s="62">
        <f t="shared" si="34"/>
        <v>0.70024138687733162</v>
      </c>
      <c r="BX19" s="62">
        <f t="shared" si="35"/>
        <v>0.7</v>
      </c>
      <c r="BY19" s="62">
        <f t="shared" si="36"/>
        <v>0.71622539035980992</v>
      </c>
      <c r="BZ19" s="64">
        <f t="shared" si="37"/>
        <v>0.70499068662084907</v>
      </c>
      <c r="CA19" s="62">
        <f t="shared" si="38"/>
        <v>0.66943585780525505</v>
      </c>
      <c r="CB19" s="62">
        <f t="shared" si="39"/>
        <v>0.64867237217467633</v>
      </c>
      <c r="CC19" s="62">
        <f t="shared" si="40"/>
        <v>0.6605536332179931</v>
      </c>
      <c r="CD19" s="62">
        <f t="shared" si="41"/>
        <v>0.69619823489477262</v>
      </c>
      <c r="CE19" s="65">
        <f t="shared" si="42"/>
        <v>0.66677371700173427</v>
      </c>
      <c r="CF19" s="62">
        <f t="shared" si="43"/>
        <v>0.61707882534775893</v>
      </c>
      <c r="CG19" s="62">
        <f t="shared" si="44"/>
        <v>0.6214614878209348</v>
      </c>
      <c r="CH19" s="62">
        <f t="shared" si="45"/>
        <v>0.64117647058823535</v>
      </c>
      <c r="CI19" s="62">
        <f t="shared" si="46"/>
        <v>0.68295994568906992</v>
      </c>
      <c r="CJ19" s="66">
        <f t="shared" si="47"/>
        <v>0.63530091849187487</v>
      </c>
      <c r="CK19" s="62">
        <f t="shared" ref="CK19:CN34" si="77">IFERROR((BQ19+BV19+CA19+CF19)/4,"")</f>
        <v>0.67986862442040186</v>
      </c>
      <c r="CL19" s="62">
        <f t="shared" si="77"/>
        <v>0.67434715821812596</v>
      </c>
      <c r="CM19" s="62">
        <f t="shared" si="77"/>
        <v>0.68460207612456736</v>
      </c>
      <c r="CN19" s="62">
        <f t="shared" si="77"/>
        <v>0.71215207060420915</v>
      </c>
      <c r="CO19" s="67">
        <f t="shared" si="49"/>
        <v>0.6852398998008864</v>
      </c>
      <c r="CP19" s="48"/>
    </row>
    <row r="20" spans="1:94" ht="30.75" customHeight="1" x14ac:dyDescent="0.3">
      <c r="A20" s="49">
        <v>16</v>
      </c>
      <c r="B20" s="50" t="s">
        <v>50</v>
      </c>
      <c r="C20" s="50" t="s">
        <v>53</v>
      </c>
      <c r="D20" s="51">
        <v>46143</v>
      </c>
      <c r="E20" s="74">
        <v>50</v>
      </c>
      <c r="F20" s="74">
        <v>46</v>
      </c>
      <c r="G20" s="53">
        <f t="shared" si="1"/>
        <v>0.92</v>
      </c>
      <c r="H20" s="49">
        <v>1399</v>
      </c>
      <c r="I20" s="49">
        <v>1082</v>
      </c>
      <c r="J20" s="49">
        <v>679</v>
      </c>
      <c r="K20" s="49">
        <v>386</v>
      </c>
      <c r="L20" s="54">
        <f t="shared" si="3"/>
        <v>3546</v>
      </c>
      <c r="M20" s="52">
        <v>1255</v>
      </c>
      <c r="N20" s="52">
        <v>979</v>
      </c>
      <c r="O20" s="52">
        <v>600</v>
      </c>
      <c r="P20" s="52">
        <v>326</v>
      </c>
      <c r="Q20" s="54">
        <f t="shared" si="5"/>
        <v>3160</v>
      </c>
      <c r="R20" s="52">
        <v>439</v>
      </c>
      <c r="S20" s="52">
        <v>155</v>
      </c>
      <c r="T20" s="52">
        <v>45</v>
      </c>
      <c r="U20" s="52">
        <v>2</v>
      </c>
      <c r="V20" s="55">
        <f t="shared" si="7"/>
        <v>641</v>
      </c>
      <c r="W20" s="52">
        <v>443</v>
      </c>
      <c r="X20" s="52">
        <v>312</v>
      </c>
      <c r="Y20" s="52">
        <v>125</v>
      </c>
      <c r="Z20" s="52">
        <v>44</v>
      </c>
      <c r="AA20" s="55">
        <f t="shared" si="9"/>
        <v>924</v>
      </c>
      <c r="AB20" s="52">
        <v>276</v>
      </c>
      <c r="AC20" s="52">
        <v>363</v>
      </c>
      <c r="AD20" s="52">
        <v>236</v>
      </c>
      <c r="AE20" s="52">
        <v>119</v>
      </c>
      <c r="AF20" s="55">
        <f t="shared" si="11"/>
        <v>994</v>
      </c>
      <c r="AG20" s="84">
        <v>97</v>
      </c>
      <c r="AH20" s="84">
        <v>149</v>
      </c>
      <c r="AI20" s="84">
        <v>194</v>
      </c>
      <c r="AJ20" s="84">
        <v>161</v>
      </c>
      <c r="AK20" s="55">
        <f t="shared" si="13"/>
        <v>601</v>
      </c>
      <c r="AL20" s="56">
        <f t="shared" si="14"/>
        <v>0.2199203187250996</v>
      </c>
      <c r="AM20" s="56">
        <f t="shared" si="15"/>
        <v>0.3707865168539326</v>
      </c>
      <c r="AN20" s="56">
        <f t="shared" si="16"/>
        <v>0.39333333333333331</v>
      </c>
      <c r="AO20" s="56">
        <f t="shared" si="17"/>
        <v>0.36503067484662577</v>
      </c>
      <c r="AP20" s="57">
        <f t="shared" si="18"/>
        <v>0.31455696202531647</v>
      </c>
      <c r="AQ20" s="56">
        <f t="shared" si="19"/>
        <v>7.7290836653386458E-2</v>
      </c>
      <c r="AR20" s="56">
        <f t="shared" si="20"/>
        <v>0.15219611848825332</v>
      </c>
      <c r="AS20" s="56">
        <f t="shared" si="21"/>
        <v>0.32333333333333331</v>
      </c>
      <c r="AT20" s="56">
        <f t="shared" si="22"/>
        <v>0.49386503067484661</v>
      </c>
      <c r="AU20" s="57">
        <f t="shared" si="23"/>
        <v>0.19018987341772151</v>
      </c>
      <c r="AV20" s="52">
        <v>827</v>
      </c>
      <c r="AW20" s="52">
        <v>775</v>
      </c>
      <c r="AX20" s="52">
        <v>538</v>
      </c>
      <c r="AY20" s="52">
        <v>309</v>
      </c>
      <c r="AZ20" s="58">
        <f t="shared" si="25"/>
        <v>2449</v>
      </c>
      <c r="BA20" s="52">
        <v>760</v>
      </c>
      <c r="BB20" s="52">
        <v>749</v>
      </c>
      <c r="BC20" s="52">
        <v>545</v>
      </c>
      <c r="BD20" s="52">
        <v>309</v>
      </c>
      <c r="BE20" s="59">
        <f t="shared" si="27"/>
        <v>2363</v>
      </c>
      <c r="BF20" s="52">
        <v>915</v>
      </c>
      <c r="BG20" s="52">
        <v>708</v>
      </c>
      <c r="BH20" s="52">
        <v>446</v>
      </c>
      <c r="BI20" s="52">
        <v>250</v>
      </c>
      <c r="BJ20" s="60">
        <f t="shared" si="29"/>
        <v>2319</v>
      </c>
      <c r="BK20" s="52">
        <v>880</v>
      </c>
      <c r="BL20" s="52">
        <v>683</v>
      </c>
      <c r="BM20" s="52">
        <v>422</v>
      </c>
      <c r="BN20" s="52">
        <v>239</v>
      </c>
      <c r="BO20" s="55">
        <f t="shared" si="31"/>
        <v>2224</v>
      </c>
      <c r="BP20" s="61"/>
      <c r="BQ20" s="62">
        <f t="shared" si="51"/>
        <v>0.65896414342629483</v>
      </c>
      <c r="BR20" s="62">
        <f t="shared" si="52"/>
        <v>0.79162410623084778</v>
      </c>
      <c r="BS20" s="62">
        <f t="shared" si="53"/>
        <v>0.89666666666666661</v>
      </c>
      <c r="BT20" s="62">
        <f t="shared" si="54"/>
        <v>0.94785276073619629</v>
      </c>
      <c r="BU20" s="63">
        <f t="shared" si="32"/>
        <v>0.77500000000000002</v>
      </c>
      <c r="BV20" s="62">
        <f t="shared" si="33"/>
        <v>0.60557768924302791</v>
      </c>
      <c r="BW20" s="62">
        <f t="shared" si="34"/>
        <v>0.76506639427987744</v>
      </c>
      <c r="BX20" s="62">
        <f t="shared" si="35"/>
        <v>0.90833333333333333</v>
      </c>
      <c r="BY20" s="62">
        <f t="shared" si="36"/>
        <v>0.94785276073619629</v>
      </c>
      <c r="BZ20" s="64">
        <f t="shared" si="37"/>
        <v>0.74778481012658227</v>
      </c>
      <c r="CA20" s="62">
        <f t="shared" si="38"/>
        <v>0.72908366533864544</v>
      </c>
      <c r="CB20" s="62">
        <f t="shared" si="39"/>
        <v>0.72318692543411645</v>
      </c>
      <c r="CC20" s="62">
        <f t="shared" si="40"/>
        <v>0.74333333333333329</v>
      </c>
      <c r="CD20" s="62">
        <f t="shared" si="41"/>
        <v>0.76687116564417179</v>
      </c>
      <c r="CE20" s="65">
        <f t="shared" si="42"/>
        <v>0.73386075949367091</v>
      </c>
      <c r="CF20" s="62">
        <f t="shared" si="43"/>
        <v>0.70119521912350602</v>
      </c>
      <c r="CG20" s="62">
        <f t="shared" si="44"/>
        <v>0.69765066394279873</v>
      </c>
      <c r="CH20" s="62">
        <f t="shared" si="45"/>
        <v>0.70333333333333337</v>
      </c>
      <c r="CI20" s="62">
        <f t="shared" si="46"/>
        <v>0.73312883435582821</v>
      </c>
      <c r="CJ20" s="66">
        <f t="shared" si="47"/>
        <v>0.70379746835443036</v>
      </c>
      <c r="CK20" s="62">
        <f t="shared" si="77"/>
        <v>0.67370517928286855</v>
      </c>
      <c r="CL20" s="62">
        <f t="shared" si="77"/>
        <v>0.7443820224719101</v>
      </c>
      <c r="CM20" s="62">
        <f t="shared" si="77"/>
        <v>0.81291666666666673</v>
      </c>
      <c r="CN20" s="62">
        <f t="shared" si="77"/>
        <v>0.84892638036809809</v>
      </c>
      <c r="CO20" s="67">
        <f t="shared" si="49"/>
        <v>0.74011075949367078</v>
      </c>
      <c r="CP20" s="48"/>
    </row>
    <row r="21" spans="1:94" ht="30.75" customHeight="1" x14ac:dyDescent="0.3">
      <c r="A21" s="36" t="s">
        <v>54</v>
      </c>
      <c r="B21" s="37"/>
      <c r="C21" s="38"/>
      <c r="D21" s="39"/>
      <c r="E21" s="40">
        <f t="shared" ref="E21:F21" si="78">SUM(E22:E28)</f>
        <v>1165</v>
      </c>
      <c r="F21" s="40">
        <f t="shared" si="78"/>
        <v>1110</v>
      </c>
      <c r="G21" s="41">
        <f t="shared" si="1"/>
        <v>0.9527896995708155</v>
      </c>
      <c r="H21" s="40">
        <f t="shared" ref="H21:K21" si="79">SUM(H22:H28)</f>
        <v>44160</v>
      </c>
      <c r="I21" s="40">
        <f t="shared" si="79"/>
        <v>38874</v>
      </c>
      <c r="J21" s="40">
        <f t="shared" si="79"/>
        <v>29473</v>
      </c>
      <c r="K21" s="40">
        <f t="shared" si="79"/>
        <v>21839</v>
      </c>
      <c r="L21" s="42">
        <f t="shared" si="3"/>
        <v>134346</v>
      </c>
      <c r="M21" s="40">
        <f t="shared" ref="M21:P21" si="80">SUM(M22:M28)</f>
        <v>40043</v>
      </c>
      <c r="N21" s="40">
        <f t="shared" si="80"/>
        <v>35518</v>
      </c>
      <c r="O21" s="40">
        <f t="shared" si="80"/>
        <v>27131</v>
      </c>
      <c r="P21" s="40">
        <f t="shared" si="80"/>
        <v>20279</v>
      </c>
      <c r="Q21" s="42">
        <f t="shared" si="5"/>
        <v>122971</v>
      </c>
      <c r="R21" s="40">
        <f t="shared" ref="R21:U21" si="81">SUM(R22:R28)</f>
        <v>421</v>
      </c>
      <c r="S21" s="40">
        <f t="shared" si="81"/>
        <v>130</v>
      </c>
      <c r="T21" s="40">
        <f t="shared" si="81"/>
        <v>5</v>
      </c>
      <c r="U21" s="40">
        <f t="shared" si="81"/>
        <v>0</v>
      </c>
      <c r="V21" s="43">
        <f t="shared" si="7"/>
        <v>556</v>
      </c>
      <c r="W21" s="40">
        <f t="shared" ref="W21:Z21" si="82">SUM(W22:W28)</f>
        <v>1296</v>
      </c>
      <c r="X21" s="40">
        <f t="shared" si="82"/>
        <v>473</v>
      </c>
      <c r="Y21" s="40">
        <f t="shared" si="82"/>
        <v>209</v>
      </c>
      <c r="Z21" s="40">
        <f t="shared" si="82"/>
        <v>39</v>
      </c>
      <c r="AA21" s="43">
        <f t="shared" si="9"/>
        <v>2017</v>
      </c>
      <c r="AB21" s="40">
        <f t="shared" ref="AB21:AE21" si="83">SUM(AB22:AB28)</f>
        <v>9146</v>
      </c>
      <c r="AC21" s="40">
        <f t="shared" si="83"/>
        <v>4601</v>
      </c>
      <c r="AD21" s="40">
        <f t="shared" si="83"/>
        <v>1584</v>
      </c>
      <c r="AE21" s="40">
        <f t="shared" si="83"/>
        <v>360</v>
      </c>
      <c r="AF21" s="43">
        <f t="shared" si="11"/>
        <v>15691</v>
      </c>
      <c r="AG21" s="40">
        <f t="shared" ref="AG21:AJ21" si="84">SUM(AG22:AG28)</f>
        <v>29180</v>
      </c>
      <c r="AH21" s="40">
        <f t="shared" si="84"/>
        <v>30314</v>
      </c>
      <c r="AI21" s="40">
        <f t="shared" si="84"/>
        <v>25333</v>
      </c>
      <c r="AJ21" s="40">
        <f t="shared" si="84"/>
        <v>19880</v>
      </c>
      <c r="AK21" s="43">
        <f t="shared" si="13"/>
        <v>104707</v>
      </c>
      <c r="AL21" s="44">
        <f t="shared" si="14"/>
        <v>0.22840446519991009</v>
      </c>
      <c r="AM21" s="44">
        <f t="shared" si="15"/>
        <v>0.12953995157384987</v>
      </c>
      <c r="AN21" s="44">
        <f t="shared" si="16"/>
        <v>5.8383399063801557E-2</v>
      </c>
      <c r="AO21" s="44">
        <f t="shared" si="17"/>
        <v>1.7752354652596281E-2</v>
      </c>
      <c r="AP21" s="44">
        <f t="shared" si="18"/>
        <v>0.12759919005293932</v>
      </c>
      <c r="AQ21" s="44">
        <f t="shared" si="19"/>
        <v>0.72871662962315509</v>
      </c>
      <c r="AR21" s="44">
        <f t="shared" si="20"/>
        <v>0.85348274114533473</v>
      </c>
      <c r="AS21" s="44">
        <f t="shared" si="21"/>
        <v>0.93372894474954848</v>
      </c>
      <c r="AT21" s="44">
        <f t="shared" si="22"/>
        <v>0.98032447359337249</v>
      </c>
      <c r="AU21" s="44">
        <f t="shared" si="23"/>
        <v>0.85147717754592545</v>
      </c>
      <c r="AV21" s="40">
        <f t="shared" ref="AV21:AY21" si="85">SUM(AV22:AV28)</f>
        <v>31798</v>
      </c>
      <c r="AW21" s="40">
        <f t="shared" si="85"/>
        <v>31032</v>
      </c>
      <c r="AX21" s="40">
        <f t="shared" si="85"/>
        <v>25147</v>
      </c>
      <c r="AY21" s="40">
        <f t="shared" si="85"/>
        <v>19398</v>
      </c>
      <c r="AZ21" s="43">
        <f t="shared" si="25"/>
        <v>107375</v>
      </c>
      <c r="BA21" s="40">
        <f t="shared" ref="BA21:BD21" si="86">SUM(BA22:BA28)</f>
        <v>29364</v>
      </c>
      <c r="BB21" s="40">
        <f t="shared" si="86"/>
        <v>29197</v>
      </c>
      <c r="BC21" s="40">
        <f t="shared" si="86"/>
        <v>24011</v>
      </c>
      <c r="BD21" s="40">
        <f t="shared" si="86"/>
        <v>19049</v>
      </c>
      <c r="BE21" s="43">
        <f t="shared" si="27"/>
        <v>101621</v>
      </c>
      <c r="BF21" s="40">
        <f t="shared" ref="BF21:BI21" si="87">SUM(BF22:BF28)</f>
        <v>23228</v>
      </c>
      <c r="BG21" s="40">
        <f t="shared" si="87"/>
        <v>25621</v>
      </c>
      <c r="BH21" s="40">
        <f t="shared" si="87"/>
        <v>22378</v>
      </c>
      <c r="BI21" s="40">
        <f t="shared" si="87"/>
        <v>18027</v>
      </c>
      <c r="BJ21" s="43">
        <f t="shared" si="29"/>
        <v>89254</v>
      </c>
      <c r="BK21" s="40">
        <f t="shared" ref="BK21:BN21" si="88">SUM(BK22:BK28)</f>
        <v>15102</v>
      </c>
      <c r="BL21" s="40">
        <f t="shared" si="88"/>
        <v>19436</v>
      </c>
      <c r="BM21" s="40">
        <f t="shared" si="88"/>
        <v>18466</v>
      </c>
      <c r="BN21" s="40">
        <f t="shared" si="88"/>
        <v>16197</v>
      </c>
      <c r="BO21" s="43">
        <f t="shared" si="31"/>
        <v>69201</v>
      </c>
      <c r="BP21" s="45"/>
      <c r="BQ21" s="46">
        <f t="shared" si="51"/>
        <v>0.7940963464275903</v>
      </c>
      <c r="BR21" s="46">
        <f t="shared" si="52"/>
        <v>0.87369784334703526</v>
      </c>
      <c r="BS21" s="46">
        <f t="shared" si="53"/>
        <v>0.9268733183443294</v>
      </c>
      <c r="BT21" s="46">
        <f t="shared" si="54"/>
        <v>0.95655604319739629</v>
      </c>
      <c r="BU21" s="46">
        <f t="shared" si="32"/>
        <v>0.87317334981418382</v>
      </c>
      <c r="BV21" s="46">
        <f t="shared" si="33"/>
        <v>0.73331168993332163</v>
      </c>
      <c r="BW21" s="46">
        <f t="shared" si="34"/>
        <v>0.82203389830508478</v>
      </c>
      <c r="BX21" s="46">
        <f t="shared" si="35"/>
        <v>0.88500239578342121</v>
      </c>
      <c r="BY21" s="46">
        <f t="shared" si="36"/>
        <v>0.9393461216036294</v>
      </c>
      <c r="BZ21" s="47">
        <f t="shared" si="37"/>
        <v>0.82638182986232522</v>
      </c>
      <c r="CA21" s="46">
        <f t="shared" si="38"/>
        <v>0.58007641785081043</v>
      </c>
      <c r="CB21" s="46">
        <f t="shared" si="39"/>
        <v>0.72135255363477668</v>
      </c>
      <c r="CC21" s="46">
        <f t="shared" si="40"/>
        <v>0.82481294460211563</v>
      </c>
      <c r="CD21" s="46">
        <f t="shared" si="41"/>
        <v>0.88894915922875883</v>
      </c>
      <c r="CE21" s="47">
        <f t="shared" si="42"/>
        <v>0.72581340316009468</v>
      </c>
      <c r="CF21" s="46">
        <f t="shared" si="43"/>
        <v>0.37714456958769321</v>
      </c>
      <c r="CG21" s="46">
        <f t="shared" si="44"/>
        <v>0.54721549636803879</v>
      </c>
      <c r="CH21" s="46">
        <f t="shared" si="45"/>
        <v>0.68062364085363602</v>
      </c>
      <c r="CI21" s="46">
        <f t="shared" si="46"/>
        <v>0.7987080230780611</v>
      </c>
      <c r="CJ21" s="47">
        <f t="shared" si="47"/>
        <v>0.56274243520830114</v>
      </c>
      <c r="CK21" s="46">
        <f t="shared" si="77"/>
        <v>0.62115725594985394</v>
      </c>
      <c r="CL21" s="46">
        <f t="shared" si="77"/>
        <v>0.74107494791373385</v>
      </c>
      <c r="CM21" s="46">
        <f t="shared" si="77"/>
        <v>0.82932807489587557</v>
      </c>
      <c r="CN21" s="46">
        <f t="shared" si="77"/>
        <v>0.89588983677696143</v>
      </c>
      <c r="CO21" s="47">
        <f t="shared" si="49"/>
        <v>0.74702775451122616</v>
      </c>
      <c r="CP21" s="48"/>
    </row>
    <row r="22" spans="1:94" ht="30.75" customHeight="1" x14ac:dyDescent="0.3">
      <c r="A22" s="49">
        <v>17</v>
      </c>
      <c r="B22" s="50" t="s">
        <v>55</v>
      </c>
      <c r="C22" s="50" t="s">
        <v>56</v>
      </c>
      <c r="D22" s="85">
        <v>46143</v>
      </c>
      <c r="E22" s="86">
        <v>346</v>
      </c>
      <c r="F22" s="86">
        <v>340</v>
      </c>
      <c r="G22" s="53">
        <f t="shared" si="1"/>
        <v>0.98265895953757221</v>
      </c>
      <c r="H22" s="52">
        <v>9594</v>
      </c>
      <c r="I22" s="52">
        <v>8792</v>
      </c>
      <c r="J22" s="52">
        <v>6893</v>
      </c>
      <c r="K22" s="52">
        <v>5262</v>
      </c>
      <c r="L22" s="54">
        <f t="shared" si="3"/>
        <v>30541</v>
      </c>
      <c r="M22" s="52">
        <v>8878</v>
      </c>
      <c r="N22" s="52">
        <v>8150</v>
      </c>
      <c r="O22" s="52">
        <v>6551</v>
      </c>
      <c r="P22" s="52">
        <v>4999</v>
      </c>
      <c r="Q22" s="54">
        <f t="shared" si="5"/>
        <v>28578</v>
      </c>
      <c r="R22" s="52">
        <v>56</v>
      </c>
      <c r="S22" s="52">
        <v>12</v>
      </c>
      <c r="T22" s="52">
        <v>2</v>
      </c>
      <c r="U22" s="52">
        <v>0</v>
      </c>
      <c r="V22" s="55">
        <f t="shared" si="7"/>
        <v>70</v>
      </c>
      <c r="W22" s="52">
        <v>350</v>
      </c>
      <c r="X22" s="52">
        <v>135</v>
      </c>
      <c r="Y22" s="52">
        <v>48</v>
      </c>
      <c r="Z22" s="52">
        <v>7</v>
      </c>
      <c r="AA22" s="55">
        <f t="shared" si="9"/>
        <v>540</v>
      </c>
      <c r="AB22" s="52">
        <v>1930</v>
      </c>
      <c r="AC22" s="52">
        <v>855</v>
      </c>
      <c r="AD22" s="52">
        <v>337</v>
      </c>
      <c r="AE22" s="52">
        <v>136</v>
      </c>
      <c r="AF22" s="55">
        <f t="shared" si="11"/>
        <v>3258</v>
      </c>
      <c r="AG22" s="52">
        <v>6542</v>
      </c>
      <c r="AH22" s="52">
        <v>7148</v>
      </c>
      <c r="AI22" s="52">
        <v>6164</v>
      </c>
      <c r="AJ22" s="52">
        <v>4856</v>
      </c>
      <c r="AK22" s="55">
        <f t="shared" si="13"/>
        <v>24710</v>
      </c>
      <c r="AL22" s="56">
        <f t="shared" si="14"/>
        <v>0.21739130434782608</v>
      </c>
      <c r="AM22" s="56">
        <f t="shared" si="15"/>
        <v>0.1049079754601227</v>
      </c>
      <c r="AN22" s="56">
        <f t="shared" si="16"/>
        <v>5.1442527858342239E-2</v>
      </c>
      <c r="AO22" s="56">
        <f t="shared" si="17"/>
        <v>2.7205441088217642E-2</v>
      </c>
      <c r="AP22" s="57">
        <f t="shared" si="18"/>
        <v>0.11400377913079991</v>
      </c>
      <c r="AQ22" s="56">
        <f t="shared" si="19"/>
        <v>0.73687767515206126</v>
      </c>
      <c r="AR22" s="56">
        <f t="shared" si="20"/>
        <v>0.87705521472392634</v>
      </c>
      <c r="AS22" s="56">
        <f t="shared" si="21"/>
        <v>0.94092504961074641</v>
      </c>
      <c r="AT22" s="56">
        <f t="shared" si="22"/>
        <v>0.97139427885577112</v>
      </c>
      <c r="AU22" s="57">
        <f t="shared" si="23"/>
        <v>0.86465113024004481</v>
      </c>
      <c r="AV22" s="52">
        <v>6901</v>
      </c>
      <c r="AW22" s="52">
        <v>7239</v>
      </c>
      <c r="AX22" s="52">
        <v>6209</v>
      </c>
      <c r="AY22" s="52">
        <v>4886</v>
      </c>
      <c r="AZ22" s="58">
        <f t="shared" si="25"/>
        <v>25235</v>
      </c>
      <c r="BA22" s="52">
        <v>6244</v>
      </c>
      <c r="BB22" s="52">
        <v>6751</v>
      </c>
      <c r="BC22" s="52">
        <v>5872</v>
      </c>
      <c r="BD22" s="52">
        <v>4774</v>
      </c>
      <c r="BE22" s="59">
        <f t="shared" si="27"/>
        <v>23641</v>
      </c>
      <c r="BF22" s="52">
        <v>4993</v>
      </c>
      <c r="BG22" s="52">
        <v>5875</v>
      </c>
      <c r="BH22" s="52">
        <v>5483</v>
      </c>
      <c r="BI22" s="52">
        <v>4557</v>
      </c>
      <c r="BJ22" s="60">
        <f t="shared" si="29"/>
        <v>20908</v>
      </c>
      <c r="BK22" s="52">
        <v>3753</v>
      </c>
      <c r="BL22" s="52">
        <v>4619</v>
      </c>
      <c r="BM22" s="52">
        <v>4526</v>
      </c>
      <c r="BN22" s="52">
        <v>4088</v>
      </c>
      <c r="BO22" s="55">
        <f t="shared" si="31"/>
        <v>16986</v>
      </c>
      <c r="BP22" s="61"/>
      <c r="BQ22" s="62">
        <f t="shared" si="51"/>
        <v>0.77731471052038748</v>
      </c>
      <c r="BR22" s="62">
        <f t="shared" si="52"/>
        <v>0.88822085889570557</v>
      </c>
      <c r="BS22" s="62">
        <f t="shared" si="53"/>
        <v>0.94779422988856665</v>
      </c>
      <c r="BT22" s="62">
        <f t="shared" si="54"/>
        <v>0.97739547909581914</v>
      </c>
      <c r="BU22" s="63">
        <f t="shared" si="32"/>
        <v>0.88302190496185873</v>
      </c>
      <c r="BV22" s="62">
        <f t="shared" si="33"/>
        <v>0.7033115566569047</v>
      </c>
      <c r="BW22" s="62">
        <f t="shared" si="34"/>
        <v>0.82834355828220863</v>
      </c>
      <c r="BX22" s="62">
        <f t="shared" si="35"/>
        <v>0.89635170203022441</v>
      </c>
      <c r="BY22" s="62">
        <f t="shared" si="36"/>
        <v>0.95499099819963995</v>
      </c>
      <c r="BZ22" s="64">
        <f t="shared" si="37"/>
        <v>0.8272447337112464</v>
      </c>
      <c r="CA22" s="62">
        <f t="shared" si="38"/>
        <v>0.56240144176616358</v>
      </c>
      <c r="CB22" s="62">
        <f t="shared" si="39"/>
        <v>0.72085889570552142</v>
      </c>
      <c r="CC22" s="62">
        <f t="shared" si="40"/>
        <v>0.83697145473973444</v>
      </c>
      <c r="CD22" s="62">
        <f t="shared" si="41"/>
        <v>0.91158231646329269</v>
      </c>
      <c r="CE22" s="65">
        <f t="shared" si="42"/>
        <v>0.73161172930226048</v>
      </c>
      <c r="CF22" s="62">
        <f t="shared" si="43"/>
        <v>0.42273034467222348</v>
      </c>
      <c r="CG22" s="62">
        <f t="shared" si="44"/>
        <v>0.56674846625766873</v>
      </c>
      <c r="CH22" s="62">
        <f t="shared" si="45"/>
        <v>0.69088688749809191</v>
      </c>
      <c r="CI22" s="62">
        <f t="shared" si="46"/>
        <v>0.81776355271054213</v>
      </c>
      <c r="CJ22" s="66">
        <f t="shared" si="47"/>
        <v>0.5943732941423473</v>
      </c>
      <c r="CK22" s="62">
        <f t="shared" si="77"/>
        <v>0.61643951340391978</v>
      </c>
      <c r="CL22" s="62">
        <f t="shared" si="77"/>
        <v>0.751042944785276</v>
      </c>
      <c r="CM22" s="62">
        <f t="shared" si="77"/>
        <v>0.84300106853915435</v>
      </c>
      <c r="CN22" s="62">
        <f t="shared" si="77"/>
        <v>0.91543308661732348</v>
      </c>
      <c r="CO22" s="67">
        <f t="shared" si="49"/>
        <v>0.75906291552942817</v>
      </c>
      <c r="CP22" s="48"/>
    </row>
    <row r="23" spans="1:94" ht="30.75" customHeight="1" x14ac:dyDescent="0.3">
      <c r="A23" s="49">
        <v>18</v>
      </c>
      <c r="B23" s="50" t="s">
        <v>55</v>
      </c>
      <c r="C23" s="50" t="s">
        <v>57</v>
      </c>
      <c r="D23" s="85">
        <v>46143</v>
      </c>
      <c r="E23" s="52">
        <v>201</v>
      </c>
      <c r="F23" s="52">
        <v>185</v>
      </c>
      <c r="G23" s="53">
        <f t="shared" si="1"/>
        <v>0.92039800995024879</v>
      </c>
      <c r="H23" s="52">
        <v>8067</v>
      </c>
      <c r="I23" s="52">
        <v>6668</v>
      </c>
      <c r="J23" s="52">
        <v>4585</v>
      </c>
      <c r="K23" s="52">
        <v>3079</v>
      </c>
      <c r="L23" s="54">
        <f t="shared" si="3"/>
        <v>22399</v>
      </c>
      <c r="M23" s="52">
        <v>6977</v>
      </c>
      <c r="N23" s="52">
        <v>5969</v>
      </c>
      <c r="O23" s="52">
        <v>4123</v>
      </c>
      <c r="P23" s="52">
        <v>2862</v>
      </c>
      <c r="Q23" s="54">
        <f t="shared" si="5"/>
        <v>19931</v>
      </c>
      <c r="R23" s="52">
        <v>90</v>
      </c>
      <c r="S23" s="52">
        <v>42</v>
      </c>
      <c r="T23" s="52">
        <v>1</v>
      </c>
      <c r="U23" s="52">
        <v>0</v>
      </c>
      <c r="V23" s="55">
        <f t="shared" si="7"/>
        <v>133</v>
      </c>
      <c r="W23" s="52">
        <v>347</v>
      </c>
      <c r="X23" s="52">
        <v>160</v>
      </c>
      <c r="Y23" s="52">
        <v>139</v>
      </c>
      <c r="Z23" s="52">
        <v>28</v>
      </c>
      <c r="AA23" s="55">
        <f t="shared" si="9"/>
        <v>674</v>
      </c>
      <c r="AB23" s="52">
        <v>1565</v>
      </c>
      <c r="AC23" s="52">
        <v>835</v>
      </c>
      <c r="AD23" s="52">
        <v>266</v>
      </c>
      <c r="AE23" s="52">
        <v>71</v>
      </c>
      <c r="AF23" s="55">
        <f t="shared" si="11"/>
        <v>2737</v>
      </c>
      <c r="AG23" s="52">
        <v>4975</v>
      </c>
      <c r="AH23" s="52">
        <v>4932</v>
      </c>
      <c r="AI23" s="52">
        <v>3717</v>
      </c>
      <c r="AJ23" s="52">
        <v>2763</v>
      </c>
      <c r="AK23" s="55">
        <f t="shared" si="13"/>
        <v>16387</v>
      </c>
      <c r="AL23" s="56">
        <f t="shared" si="14"/>
        <v>0.22430844202379246</v>
      </c>
      <c r="AM23" s="56">
        <f t="shared" si="15"/>
        <v>0.13988942871502763</v>
      </c>
      <c r="AN23" s="56">
        <f t="shared" si="16"/>
        <v>6.4516129032258063E-2</v>
      </c>
      <c r="AO23" s="56">
        <f t="shared" si="17"/>
        <v>2.4807826694619148E-2</v>
      </c>
      <c r="AP23" s="57">
        <f t="shared" si="18"/>
        <v>0.13732376699613666</v>
      </c>
      <c r="AQ23" s="56">
        <f t="shared" si="19"/>
        <v>0.71305718790311023</v>
      </c>
      <c r="AR23" s="56">
        <f t="shared" si="20"/>
        <v>0.82626905679343277</v>
      </c>
      <c r="AS23" s="56">
        <f t="shared" si="21"/>
        <v>0.90152801358234291</v>
      </c>
      <c r="AT23" s="56">
        <f t="shared" si="22"/>
        <v>0.96540880503144655</v>
      </c>
      <c r="AU23" s="57">
        <f t="shared" si="23"/>
        <v>0.82218654357533494</v>
      </c>
      <c r="AV23" s="52">
        <v>5067</v>
      </c>
      <c r="AW23" s="52">
        <v>4859</v>
      </c>
      <c r="AX23" s="52">
        <v>3521</v>
      </c>
      <c r="AY23" s="52">
        <v>2546</v>
      </c>
      <c r="AZ23" s="58">
        <f t="shared" si="25"/>
        <v>15993</v>
      </c>
      <c r="BA23" s="52">
        <v>4685</v>
      </c>
      <c r="BB23" s="52">
        <v>4549</v>
      </c>
      <c r="BC23" s="52">
        <v>3319</v>
      </c>
      <c r="BD23" s="52">
        <v>2503</v>
      </c>
      <c r="BE23" s="59">
        <f t="shared" si="27"/>
        <v>15056</v>
      </c>
      <c r="BF23" s="52">
        <v>4087</v>
      </c>
      <c r="BG23" s="52">
        <v>4188</v>
      </c>
      <c r="BH23" s="52">
        <v>3210</v>
      </c>
      <c r="BI23" s="52">
        <v>2365</v>
      </c>
      <c r="BJ23" s="60">
        <f t="shared" si="29"/>
        <v>13850</v>
      </c>
      <c r="BK23" s="52">
        <v>3209</v>
      </c>
      <c r="BL23" s="52">
        <v>3415</v>
      </c>
      <c r="BM23" s="52">
        <v>2716</v>
      </c>
      <c r="BN23" s="52">
        <v>2184</v>
      </c>
      <c r="BO23" s="55">
        <f t="shared" si="31"/>
        <v>11524</v>
      </c>
      <c r="BP23" s="61"/>
      <c r="BQ23" s="62">
        <f t="shared" si="51"/>
        <v>0.72624337107639392</v>
      </c>
      <c r="BR23" s="62">
        <f t="shared" si="52"/>
        <v>0.8140392025464902</v>
      </c>
      <c r="BS23" s="62">
        <f t="shared" si="53"/>
        <v>0.85398981324278433</v>
      </c>
      <c r="BT23" s="62">
        <f t="shared" si="54"/>
        <v>0.88958770090845563</v>
      </c>
      <c r="BU23" s="63">
        <f t="shared" si="32"/>
        <v>0.80241834328433093</v>
      </c>
      <c r="BV23" s="62">
        <f t="shared" si="33"/>
        <v>0.67149204529167261</v>
      </c>
      <c r="BW23" s="62">
        <f t="shared" si="34"/>
        <v>0.76210420505947396</v>
      </c>
      <c r="BX23" s="62">
        <f t="shared" si="35"/>
        <v>0.80499636187242296</v>
      </c>
      <c r="BY23" s="62">
        <f t="shared" si="36"/>
        <v>0.87456324248777084</v>
      </c>
      <c r="BZ23" s="64">
        <f t="shared" si="37"/>
        <v>0.75540615122171495</v>
      </c>
      <c r="CA23" s="62">
        <f t="shared" si="38"/>
        <v>0.58578185466532895</v>
      </c>
      <c r="CB23" s="62">
        <f t="shared" si="39"/>
        <v>0.70162506282459369</v>
      </c>
      <c r="CC23" s="62">
        <f t="shared" si="40"/>
        <v>0.77855930147950525</v>
      </c>
      <c r="CD23" s="62">
        <f t="shared" si="41"/>
        <v>0.82634521313766596</v>
      </c>
      <c r="CE23" s="65">
        <f t="shared" si="42"/>
        <v>0.69489739601625611</v>
      </c>
      <c r="CF23" s="62">
        <f t="shared" si="43"/>
        <v>0.45993980220725239</v>
      </c>
      <c r="CG23" s="62">
        <f t="shared" si="44"/>
        <v>0.57212263360696936</v>
      </c>
      <c r="CH23" s="62">
        <f t="shared" si="45"/>
        <v>0.65874363327674024</v>
      </c>
      <c r="CI23" s="62">
        <f t="shared" si="46"/>
        <v>0.76310272536687629</v>
      </c>
      <c r="CJ23" s="66">
        <f t="shared" si="47"/>
        <v>0.57819477196327329</v>
      </c>
      <c r="CK23" s="62">
        <f t="shared" si="77"/>
        <v>0.61086426831016205</v>
      </c>
      <c r="CL23" s="62">
        <f t="shared" si="77"/>
        <v>0.71247277600938175</v>
      </c>
      <c r="CM23" s="62">
        <f t="shared" si="77"/>
        <v>0.77407227746786322</v>
      </c>
      <c r="CN23" s="62">
        <f t="shared" si="77"/>
        <v>0.83839972047519218</v>
      </c>
      <c r="CO23" s="67">
        <f t="shared" si="49"/>
        <v>0.70772916562139387</v>
      </c>
      <c r="CP23" s="48"/>
    </row>
    <row r="24" spans="1:94" ht="30.75" customHeight="1" x14ac:dyDescent="0.3">
      <c r="A24" s="49">
        <v>19</v>
      </c>
      <c r="B24" s="50" t="s">
        <v>55</v>
      </c>
      <c r="C24" s="50" t="s">
        <v>58</v>
      </c>
      <c r="D24" s="85">
        <v>46143</v>
      </c>
      <c r="E24" s="52">
        <v>34</v>
      </c>
      <c r="F24" s="52">
        <v>34</v>
      </c>
      <c r="G24" s="53">
        <f t="shared" si="1"/>
        <v>1</v>
      </c>
      <c r="H24" s="52">
        <v>3210</v>
      </c>
      <c r="I24" s="52">
        <v>3096</v>
      </c>
      <c r="J24" s="52">
        <v>2780</v>
      </c>
      <c r="K24" s="52">
        <v>2273</v>
      </c>
      <c r="L24" s="54">
        <f t="shared" si="3"/>
        <v>11359</v>
      </c>
      <c r="M24" s="52">
        <v>3185</v>
      </c>
      <c r="N24" s="52">
        <v>3067</v>
      </c>
      <c r="O24" s="52">
        <v>2747</v>
      </c>
      <c r="P24" s="52">
        <v>2262</v>
      </c>
      <c r="Q24" s="54">
        <f t="shared" si="5"/>
        <v>11261</v>
      </c>
      <c r="R24" s="52">
        <v>91</v>
      </c>
      <c r="S24" s="52">
        <v>3</v>
      </c>
      <c r="T24" s="52">
        <v>0</v>
      </c>
      <c r="U24" s="52">
        <v>0</v>
      </c>
      <c r="V24" s="55">
        <f t="shared" si="7"/>
        <v>94</v>
      </c>
      <c r="W24" s="52">
        <v>146</v>
      </c>
      <c r="X24" s="52">
        <v>31</v>
      </c>
      <c r="Y24" s="52">
        <v>15</v>
      </c>
      <c r="Z24" s="52">
        <v>0</v>
      </c>
      <c r="AA24" s="55">
        <f t="shared" si="9"/>
        <v>192</v>
      </c>
      <c r="AB24" s="52">
        <v>641</v>
      </c>
      <c r="AC24" s="52">
        <v>346</v>
      </c>
      <c r="AD24" s="52">
        <v>104</v>
      </c>
      <c r="AE24" s="52">
        <v>20</v>
      </c>
      <c r="AF24" s="55">
        <f t="shared" si="11"/>
        <v>1111</v>
      </c>
      <c r="AG24" s="52">
        <v>2307</v>
      </c>
      <c r="AH24" s="52">
        <v>2687</v>
      </c>
      <c r="AI24" s="52">
        <v>2628</v>
      </c>
      <c r="AJ24" s="52">
        <v>2242</v>
      </c>
      <c r="AK24" s="55">
        <f t="shared" si="13"/>
        <v>9864</v>
      </c>
      <c r="AL24" s="56">
        <f t="shared" si="14"/>
        <v>0.20125588697017269</v>
      </c>
      <c r="AM24" s="56">
        <f t="shared" si="15"/>
        <v>0.11281382458428432</v>
      </c>
      <c r="AN24" s="56">
        <f t="shared" si="16"/>
        <v>3.7859483072442662E-2</v>
      </c>
      <c r="AO24" s="56">
        <f t="shared" si="17"/>
        <v>8.8417329796640146E-3</v>
      </c>
      <c r="AP24" s="57">
        <f t="shared" si="18"/>
        <v>9.8659088890862265E-2</v>
      </c>
      <c r="AQ24" s="56">
        <f t="shared" si="19"/>
        <v>0.72433281004709571</v>
      </c>
      <c r="AR24" s="56">
        <f t="shared" si="20"/>
        <v>0.87610042386697096</v>
      </c>
      <c r="AS24" s="56">
        <f t="shared" si="21"/>
        <v>0.95668001456133966</v>
      </c>
      <c r="AT24" s="56">
        <f t="shared" si="22"/>
        <v>0.99115826702033594</v>
      </c>
      <c r="AU24" s="57">
        <f t="shared" si="23"/>
        <v>0.87594352188970781</v>
      </c>
      <c r="AV24" s="52">
        <v>2704</v>
      </c>
      <c r="AW24" s="52">
        <v>2762</v>
      </c>
      <c r="AX24" s="52">
        <v>2602</v>
      </c>
      <c r="AY24" s="52">
        <v>2171</v>
      </c>
      <c r="AZ24" s="58">
        <f t="shared" si="25"/>
        <v>10239</v>
      </c>
      <c r="BA24" s="52">
        <v>2451</v>
      </c>
      <c r="BB24" s="52">
        <v>2588</v>
      </c>
      <c r="BC24" s="52">
        <v>2410</v>
      </c>
      <c r="BD24" s="52">
        <v>2122</v>
      </c>
      <c r="BE24" s="59">
        <f t="shared" si="27"/>
        <v>9571</v>
      </c>
      <c r="BF24" s="52">
        <v>1535</v>
      </c>
      <c r="BG24" s="52">
        <v>2106</v>
      </c>
      <c r="BH24" s="52">
        <v>2209</v>
      </c>
      <c r="BI24" s="52">
        <v>1867</v>
      </c>
      <c r="BJ24" s="60">
        <f t="shared" si="29"/>
        <v>7717</v>
      </c>
      <c r="BK24" s="52">
        <v>1071</v>
      </c>
      <c r="BL24" s="52">
        <v>1455</v>
      </c>
      <c r="BM24" s="52">
        <v>1819</v>
      </c>
      <c r="BN24" s="52">
        <v>1694</v>
      </c>
      <c r="BO24" s="55">
        <f t="shared" si="31"/>
        <v>6039</v>
      </c>
      <c r="BP24" s="61"/>
      <c r="BQ24" s="62">
        <f t="shared" si="51"/>
        <v>0.84897959183673466</v>
      </c>
      <c r="BR24" s="62">
        <f t="shared" si="52"/>
        <v>0.90055428757743727</v>
      </c>
      <c r="BS24" s="62">
        <f t="shared" si="53"/>
        <v>0.94721514379322902</v>
      </c>
      <c r="BT24" s="62">
        <f t="shared" si="54"/>
        <v>0.95977011494252873</v>
      </c>
      <c r="BU24" s="63">
        <f t="shared" si="32"/>
        <v>0.90924429446763166</v>
      </c>
      <c r="BV24" s="62">
        <f t="shared" si="33"/>
        <v>0.76954474097331238</v>
      </c>
      <c r="BW24" s="62">
        <f t="shared" si="34"/>
        <v>0.84382132376915553</v>
      </c>
      <c r="BX24" s="62">
        <f t="shared" si="35"/>
        <v>0.87732071350564256</v>
      </c>
      <c r="BY24" s="62">
        <f t="shared" si="36"/>
        <v>0.93810786914235189</v>
      </c>
      <c r="BZ24" s="64">
        <f t="shared" si="37"/>
        <v>0.84992451824882342</v>
      </c>
      <c r="CA24" s="62">
        <f t="shared" si="38"/>
        <v>0.48194662480376765</v>
      </c>
      <c r="CB24" s="62">
        <f t="shared" si="39"/>
        <v>0.68666449298989241</v>
      </c>
      <c r="CC24" s="62">
        <f t="shared" si="40"/>
        <v>0.80414998179832542</v>
      </c>
      <c r="CD24" s="62">
        <f t="shared" si="41"/>
        <v>0.82537577365163572</v>
      </c>
      <c r="CE24" s="65">
        <f t="shared" si="42"/>
        <v>0.68528549862356802</v>
      </c>
      <c r="CF24" s="62">
        <f t="shared" si="43"/>
        <v>0.33626373626373629</v>
      </c>
      <c r="CG24" s="62">
        <f t="shared" si="44"/>
        <v>0.47440495598304533</v>
      </c>
      <c r="CH24" s="62">
        <f t="shared" si="45"/>
        <v>0.66217692027666541</v>
      </c>
      <c r="CI24" s="62">
        <f t="shared" si="46"/>
        <v>0.74889478337754201</v>
      </c>
      <c r="CJ24" s="66">
        <f t="shared" si="47"/>
        <v>0.53627564159488506</v>
      </c>
      <c r="CK24" s="62">
        <f t="shared" si="77"/>
        <v>0.60918367346938773</v>
      </c>
      <c r="CL24" s="62">
        <f t="shared" si="77"/>
        <v>0.72636126507988263</v>
      </c>
      <c r="CM24" s="62">
        <f t="shared" si="77"/>
        <v>0.82271568984346555</v>
      </c>
      <c r="CN24" s="62">
        <f t="shared" si="77"/>
        <v>0.86803713527851456</v>
      </c>
      <c r="CO24" s="67">
        <f t="shared" si="49"/>
        <v>0.74518248823372701</v>
      </c>
      <c r="CP24" s="48"/>
    </row>
    <row r="25" spans="1:94" ht="30.75" customHeight="1" x14ac:dyDescent="0.3">
      <c r="A25" s="49">
        <v>20</v>
      </c>
      <c r="B25" s="50" t="s">
        <v>55</v>
      </c>
      <c r="C25" s="50" t="s">
        <v>59</v>
      </c>
      <c r="D25" s="85">
        <v>46143</v>
      </c>
      <c r="E25" s="52">
        <v>129</v>
      </c>
      <c r="F25" s="52">
        <v>127</v>
      </c>
      <c r="G25" s="53">
        <f t="shared" si="1"/>
        <v>0.98449612403100772</v>
      </c>
      <c r="H25" s="52">
        <v>5402</v>
      </c>
      <c r="I25" s="52">
        <v>4302</v>
      </c>
      <c r="J25" s="52">
        <v>2524</v>
      </c>
      <c r="K25" s="52">
        <v>1686</v>
      </c>
      <c r="L25" s="54">
        <f t="shared" si="3"/>
        <v>13914</v>
      </c>
      <c r="M25" s="52">
        <v>5032</v>
      </c>
      <c r="N25" s="52">
        <v>4026</v>
      </c>
      <c r="O25" s="52">
        <v>2398</v>
      </c>
      <c r="P25" s="52">
        <v>1637</v>
      </c>
      <c r="Q25" s="54">
        <f t="shared" si="5"/>
        <v>13093</v>
      </c>
      <c r="R25" s="52">
        <v>0</v>
      </c>
      <c r="S25" s="52">
        <v>0</v>
      </c>
      <c r="T25" s="52">
        <v>0</v>
      </c>
      <c r="U25" s="52">
        <v>0</v>
      </c>
      <c r="V25" s="55">
        <f t="shared" si="7"/>
        <v>0</v>
      </c>
      <c r="W25" s="52">
        <v>59</v>
      </c>
      <c r="X25" s="52">
        <v>23</v>
      </c>
      <c r="Y25" s="52">
        <v>1</v>
      </c>
      <c r="Z25" s="52">
        <v>0</v>
      </c>
      <c r="AA25" s="55">
        <f t="shared" si="9"/>
        <v>83</v>
      </c>
      <c r="AB25" s="52">
        <v>708</v>
      </c>
      <c r="AC25" s="52">
        <v>302</v>
      </c>
      <c r="AD25" s="52">
        <v>70</v>
      </c>
      <c r="AE25" s="52">
        <v>18</v>
      </c>
      <c r="AF25" s="55">
        <f t="shared" si="11"/>
        <v>1098</v>
      </c>
      <c r="AG25" s="52">
        <v>4265</v>
      </c>
      <c r="AH25" s="52">
        <v>3701</v>
      </c>
      <c r="AI25" s="52">
        <v>2327</v>
      </c>
      <c r="AJ25" s="52">
        <v>1619</v>
      </c>
      <c r="AK25" s="55">
        <f t="shared" si="13"/>
        <v>11912</v>
      </c>
      <c r="AL25" s="56">
        <f t="shared" si="14"/>
        <v>0.14069952305246422</v>
      </c>
      <c r="AM25" s="56">
        <f t="shared" si="15"/>
        <v>7.5012419274714359E-2</v>
      </c>
      <c r="AN25" s="56">
        <f t="shared" si="16"/>
        <v>2.9190992493744787E-2</v>
      </c>
      <c r="AO25" s="56">
        <f t="shared" si="17"/>
        <v>1.0995723885155772E-2</v>
      </c>
      <c r="AP25" s="57">
        <f t="shared" si="18"/>
        <v>8.386160543802032E-2</v>
      </c>
      <c r="AQ25" s="56">
        <f t="shared" si="19"/>
        <v>0.84757551669316378</v>
      </c>
      <c r="AR25" s="56">
        <f t="shared" si="20"/>
        <v>0.91927471435668162</v>
      </c>
      <c r="AS25" s="56">
        <f t="shared" si="21"/>
        <v>0.97039199332777315</v>
      </c>
      <c r="AT25" s="56">
        <f t="shared" si="22"/>
        <v>0.98900427611484421</v>
      </c>
      <c r="AU25" s="57">
        <f t="shared" si="23"/>
        <v>0.90979912930573592</v>
      </c>
      <c r="AV25" s="52">
        <v>4041</v>
      </c>
      <c r="AW25" s="52">
        <v>3498</v>
      </c>
      <c r="AX25" s="52">
        <v>2214</v>
      </c>
      <c r="AY25" s="52">
        <v>1597</v>
      </c>
      <c r="AZ25" s="58">
        <f t="shared" si="25"/>
        <v>11350</v>
      </c>
      <c r="BA25" s="52">
        <v>3687</v>
      </c>
      <c r="BB25" s="52">
        <v>3353</v>
      </c>
      <c r="BC25" s="52">
        <v>2195</v>
      </c>
      <c r="BD25" s="52">
        <v>1568</v>
      </c>
      <c r="BE25" s="59">
        <f t="shared" si="27"/>
        <v>10803</v>
      </c>
      <c r="BF25" s="52">
        <v>2846</v>
      </c>
      <c r="BG25" s="52">
        <v>2793</v>
      </c>
      <c r="BH25" s="52">
        <v>2083</v>
      </c>
      <c r="BI25" s="52">
        <v>1465</v>
      </c>
      <c r="BJ25" s="60">
        <f t="shared" si="29"/>
        <v>9187</v>
      </c>
      <c r="BK25" s="52">
        <v>2227</v>
      </c>
      <c r="BL25" s="52">
        <v>2300</v>
      </c>
      <c r="BM25" s="52">
        <v>1769</v>
      </c>
      <c r="BN25" s="52">
        <v>1331</v>
      </c>
      <c r="BO25" s="55">
        <f t="shared" si="31"/>
        <v>7627</v>
      </c>
      <c r="BP25" s="61"/>
      <c r="BQ25" s="62">
        <f t="shared" si="51"/>
        <v>0.80306041335453104</v>
      </c>
      <c r="BR25" s="62">
        <f t="shared" si="52"/>
        <v>0.86885245901639341</v>
      </c>
      <c r="BS25" s="62">
        <f t="shared" si="53"/>
        <v>0.9232693911592994</v>
      </c>
      <c r="BT25" s="62">
        <f t="shared" si="54"/>
        <v>0.97556505803298721</v>
      </c>
      <c r="BU25" s="63">
        <f t="shared" si="32"/>
        <v>0.86687542961888031</v>
      </c>
      <c r="BV25" s="62">
        <f t="shared" si="33"/>
        <v>0.73271065182829886</v>
      </c>
      <c r="BW25" s="62">
        <f t="shared" si="34"/>
        <v>0.83283656234475911</v>
      </c>
      <c r="BX25" s="62">
        <f t="shared" si="35"/>
        <v>0.91534612176814012</v>
      </c>
      <c r="BY25" s="62">
        <f t="shared" si="36"/>
        <v>0.95784972510690292</v>
      </c>
      <c r="BZ25" s="64">
        <f t="shared" si="37"/>
        <v>0.82509738027953872</v>
      </c>
      <c r="CA25" s="62">
        <f t="shared" si="38"/>
        <v>0.56558028616852152</v>
      </c>
      <c r="CB25" s="62">
        <f t="shared" si="39"/>
        <v>0.69374068554396429</v>
      </c>
      <c r="CC25" s="62">
        <f t="shared" si="40"/>
        <v>0.86864053377814843</v>
      </c>
      <c r="CD25" s="62">
        <f t="shared" si="41"/>
        <v>0.89492974954184479</v>
      </c>
      <c r="CE25" s="65">
        <f t="shared" si="42"/>
        <v>0.70167264950737041</v>
      </c>
      <c r="CF25" s="62">
        <f t="shared" si="43"/>
        <v>0.44256756756756754</v>
      </c>
      <c r="CG25" s="62">
        <f t="shared" si="44"/>
        <v>0.57128663686040737</v>
      </c>
      <c r="CH25" s="62">
        <f t="shared" si="45"/>
        <v>0.73769808173477902</v>
      </c>
      <c r="CI25" s="62">
        <f t="shared" si="46"/>
        <v>0.81307269395235182</v>
      </c>
      <c r="CJ25" s="66">
        <f t="shared" si="47"/>
        <v>0.58252501336592077</v>
      </c>
      <c r="CK25" s="62">
        <f t="shared" si="77"/>
        <v>0.63597972972972971</v>
      </c>
      <c r="CL25" s="62">
        <f t="shared" si="77"/>
        <v>0.74167908594138099</v>
      </c>
      <c r="CM25" s="62">
        <f t="shared" si="77"/>
        <v>0.86123853211009171</v>
      </c>
      <c r="CN25" s="62">
        <f t="shared" si="77"/>
        <v>0.91035430665852179</v>
      </c>
      <c r="CO25" s="67">
        <f t="shared" si="49"/>
        <v>0.74404261819292761</v>
      </c>
      <c r="CP25" s="48"/>
    </row>
    <row r="26" spans="1:94" ht="30.75" customHeight="1" x14ac:dyDescent="0.3">
      <c r="A26" s="49">
        <v>21</v>
      </c>
      <c r="B26" s="50" t="s">
        <v>55</v>
      </c>
      <c r="C26" s="50" t="s">
        <v>60</v>
      </c>
      <c r="D26" s="85">
        <v>46143</v>
      </c>
      <c r="E26" s="87">
        <v>126</v>
      </c>
      <c r="F26" s="87">
        <v>126</v>
      </c>
      <c r="G26" s="53">
        <f t="shared" si="1"/>
        <v>1</v>
      </c>
      <c r="H26" s="88">
        <v>6024</v>
      </c>
      <c r="I26" s="89">
        <v>5135</v>
      </c>
      <c r="J26" s="89">
        <v>3976</v>
      </c>
      <c r="K26" s="89">
        <v>3075</v>
      </c>
      <c r="L26" s="54">
        <f t="shared" si="3"/>
        <v>18210</v>
      </c>
      <c r="M26" s="52">
        <v>5195</v>
      </c>
      <c r="N26" s="52">
        <v>4398</v>
      </c>
      <c r="O26" s="52">
        <v>3285</v>
      </c>
      <c r="P26" s="52">
        <v>2470</v>
      </c>
      <c r="Q26" s="54">
        <f t="shared" si="5"/>
        <v>15348</v>
      </c>
      <c r="R26" s="52">
        <v>0</v>
      </c>
      <c r="S26" s="52">
        <v>0</v>
      </c>
      <c r="T26" s="52">
        <v>0</v>
      </c>
      <c r="U26" s="52">
        <v>0</v>
      </c>
      <c r="V26" s="55">
        <f t="shared" si="7"/>
        <v>0</v>
      </c>
      <c r="W26" s="52">
        <v>0</v>
      </c>
      <c r="X26" s="52">
        <v>0</v>
      </c>
      <c r="Y26" s="52">
        <v>0</v>
      </c>
      <c r="Z26" s="52">
        <v>0</v>
      </c>
      <c r="AA26" s="55">
        <f t="shared" si="9"/>
        <v>0</v>
      </c>
      <c r="AB26" s="52">
        <v>2117</v>
      </c>
      <c r="AC26" s="52">
        <v>1359</v>
      </c>
      <c r="AD26" s="52">
        <v>479</v>
      </c>
      <c r="AE26" s="52">
        <v>47</v>
      </c>
      <c r="AF26" s="55">
        <f t="shared" si="11"/>
        <v>4002</v>
      </c>
      <c r="AG26" s="52">
        <v>3078</v>
      </c>
      <c r="AH26" s="52">
        <v>3039</v>
      </c>
      <c r="AI26" s="52">
        <v>2806</v>
      </c>
      <c r="AJ26" s="52">
        <v>2423</v>
      </c>
      <c r="AK26" s="55">
        <f t="shared" si="13"/>
        <v>11346</v>
      </c>
      <c r="AL26" s="56">
        <f t="shared" si="14"/>
        <v>0.40750721847930704</v>
      </c>
      <c r="AM26" s="56">
        <f t="shared" si="15"/>
        <v>0.30900409276944063</v>
      </c>
      <c r="AN26" s="56">
        <f t="shared" si="16"/>
        <v>0.14581430745814308</v>
      </c>
      <c r="AO26" s="56">
        <f t="shared" si="17"/>
        <v>1.9028340080971661E-2</v>
      </c>
      <c r="AP26" s="57">
        <f t="shared" si="18"/>
        <v>0.2607505863956216</v>
      </c>
      <c r="AQ26" s="56">
        <f t="shared" si="19"/>
        <v>0.59249278152069296</v>
      </c>
      <c r="AR26" s="56">
        <f t="shared" si="20"/>
        <v>0.69099590723055937</v>
      </c>
      <c r="AS26" s="56">
        <f t="shared" si="21"/>
        <v>0.85418569254185694</v>
      </c>
      <c r="AT26" s="56">
        <f t="shared" si="22"/>
        <v>0.98097165991902835</v>
      </c>
      <c r="AU26" s="57">
        <f t="shared" si="23"/>
        <v>0.73924941360437846</v>
      </c>
      <c r="AV26" s="80">
        <v>4707</v>
      </c>
      <c r="AW26" s="80">
        <v>4039</v>
      </c>
      <c r="AX26" s="80">
        <v>3091</v>
      </c>
      <c r="AY26" s="80">
        <v>2355</v>
      </c>
      <c r="AZ26" s="58">
        <f t="shared" si="25"/>
        <v>14192</v>
      </c>
      <c r="BA26" s="80">
        <v>4672</v>
      </c>
      <c r="BB26" s="80">
        <v>3961</v>
      </c>
      <c r="BC26" s="80">
        <v>3046</v>
      </c>
      <c r="BD26" s="52">
        <v>2338</v>
      </c>
      <c r="BE26" s="59">
        <f t="shared" si="27"/>
        <v>14017</v>
      </c>
      <c r="BF26" s="80">
        <v>3471</v>
      </c>
      <c r="BG26" s="80">
        <v>3533</v>
      </c>
      <c r="BH26" s="80">
        <v>2768</v>
      </c>
      <c r="BI26" s="80">
        <v>2189</v>
      </c>
      <c r="BJ26" s="60">
        <f t="shared" si="29"/>
        <v>11961</v>
      </c>
      <c r="BK26" s="80">
        <v>321</v>
      </c>
      <c r="BL26" s="80">
        <v>2129</v>
      </c>
      <c r="BM26" s="80">
        <v>2123</v>
      </c>
      <c r="BN26" s="80">
        <v>1950</v>
      </c>
      <c r="BO26" s="55">
        <f t="shared" si="31"/>
        <v>6523</v>
      </c>
      <c r="BP26" s="61"/>
      <c r="BQ26" s="62">
        <f t="shared" si="51"/>
        <v>0.9060635226179018</v>
      </c>
      <c r="BR26" s="62">
        <f t="shared" si="52"/>
        <v>0.91837198726693947</v>
      </c>
      <c r="BS26" s="62">
        <f t="shared" si="53"/>
        <v>0.94094368340943679</v>
      </c>
      <c r="BT26" s="62">
        <f t="shared" si="54"/>
        <v>0.95344129554655865</v>
      </c>
      <c r="BU26" s="63">
        <f t="shared" si="32"/>
        <v>0.92468074016158452</v>
      </c>
      <c r="BV26" s="62">
        <f t="shared" si="33"/>
        <v>0.89932627526467757</v>
      </c>
      <c r="BW26" s="62">
        <f t="shared" si="34"/>
        <v>0.9006366530241019</v>
      </c>
      <c r="BX26" s="62">
        <f t="shared" si="35"/>
        <v>0.92724505327245055</v>
      </c>
      <c r="BY26" s="62">
        <f t="shared" si="36"/>
        <v>0.94655870445344126</v>
      </c>
      <c r="BZ26" s="64">
        <f t="shared" si="37"/>
        <v>0.91327860307531927</v>
      </c>
      <c r="CA26" s="62">
        <f t="shared" si="38"/>
        <v>0.66814244465832529</v>
      </c>
      <c r="CB26" s="62">
        <f t="shared" si="39"/>
        <v>0.80331969076853116</v>
      </c>
      <c r="CC26" s="62">
        <f t="shared" si="40"/>
        <v>0.84261796042617965</v>
      </c>
      <c r="CD26" s="62">
        <f t="shared" si="41"/>
        <v>0.88623481781376523</v>
      </c>
      <c r="CE26" s="65">
        <f t="shared" si="42"/>
        <v>0.77931978107896793</v>
      </c>
      <c r="CF26" s="62">
        <f t="shared" si="43"/>
        <v>6.1790182868142446E-2</v>
      </c>
      <c r="CG26" s="62">
        <f t="shared" si="44"/>
        <v>0.48408367439745337</v>
      </c>
      <c r="CH26" s="62">
        <f t="shared" si="45"/>
        <v>0.64627092846270928</v>
      </c>
      <c r="CI26" s="62">
        <f t="shared" si="46"/>
        <v>0.78947368421052633</v>
      </c>
      <c r="CJ26" s="66">
        <f t="shared" si="47"/>
        <v>0.42500651550690643</v>
      </c>
      <c r="CK26" s="62">
        <f t="shared" si="77"/>
        <v>0.63383060635226185</v>
      </c>
      <c r="CL26" s="62">
        <f t="shared" si="77"/>
        <v>0.77660300136425642</v>
      </c>
      <c r="CM26" s="62">
        <f t="shared" si="77"/>
        <v>0.8392694063926941</v>
      </c>
      <c r="CN26" s="62">
        <f t="shared" si="77"/>
        <v>0.89392712550607278</v>
      </c>
      <c r="CO26" s="67">
        <f t="shared" si="49"/>
        <v>0.7605714099556945</v>
      </c>
      <c r="CP26" s="48"/>
    </row>
    <row r="27" spans="1:94" ht="30.75" customHeight="1" x14ac:dyDescent="0.3">
      <c r="A27" s="49">
        <v>22</v>
      </c>
      <c r="B27" s="50" t="s">
        <v>55</v>
      </c>
      <c r="C27" s="50" t="s">
        <v>61</v>
      </c>
      <c r="D27" s="85">
        <v>46143</v>
      </c>
      <c r="E27" s="52">
        <v>125</v>
      </c>
      <c r="F27" s="52">
        <v>115</v>
      </c>
      <c r="G27" s="53">
        <f t="shared" si="1"/>
        <v>0.92</v>
      </c>
      <c r="H27" s="52">
        <v>5632</v>
      </c>
      <c r="I27" s="52">
        <v>5220</v>
      </c>
      <c r="J27" s="52">
        <v>4117</v>
      </c>
      <c r="K27" s="52">
        <v>2937</v>
      </c>
      <c r="L27" s="54">
        <f t="shared" si="3"/>
        <v>17906</v>
      </c>
      <c r="M27" s="52">
        <v>5085</v>
      </c>
      <c r="N27" s="52">
        <v>4758</v>
      </c>
      <c r="O27" s="52">
        <v>3774</v>
      </c>
      <c r="P27" s="52">
        <v>2773</v>
      </c>
      <c r="Q27" s="54">
        <f t="shared" si="5"/>
        <v>16390</v>
      </c>
      <c r="R27" s="52">
        <v>83</v>
      </c>
      <c r="S27" s="52">
        <v>15</v>
      </c>
      <c r="T27" s="52">
        <v>2</v>
      </c>
      <c r="U27" s="52">
        <v>0</v>
      </c>
      <c r="V27" s="55">
        <f t="shared" si="7"/>
        <v>100</v>
      </c>
      <c r="W27" s="52">
        <v>217</v>
      </c>
      <c r="X27" s="52">
        <v>32</v>
      </c>
      <c r="Y27" s="52">
        <v>4</v>
      </c>
      <c r="Z27" s="52">
        <v>1</v>
      </c>
      <c r="AA27" s="55">
        <f t="shared" si="9"/>
        <v>254</v>
      </c>
      <c r="AB27" s="52">
        <v>976</v>
      </c>
      <c r="AC27" s="52">
        <v>474</v>
      </c>
      <c r="AD27" s="52">
        <v>173</v>
      </c>
      <c r="AE27" s="52">
        <v>22</v>
      </c>
      <c r="AF27" s="55">
        <f t="shared" si="11"/>
        <v>1645</v>
      </c>
      <c r="AG27" s="52">
        <v>3809</v>
      </c>
      <c r="AH27" s="52">
        <v>4237</v>
      </c>
      <c r="AI27" s="52">
        <v>3595</v>
      </c>
      <c r="AJ27" s="52">
        <v>2750</v>
      </c>
      <c r="AK27" s="55">
        <f t="shared" si="13"/>
        <v>14391</v>
      </c>
      <c r="AL27" s="56">
        <f t="shared" si="14"/>
        <v>0.19193706981317601</v>
      </c>
      <c r="AM27" s="56">
        <f t="shared" si="15"/>
        <v>9.9621689785624218E-2</v>
      </c>
      <c r="AN27" s="56">
        <f t="shared" si="16"/>
        <v>4.5839957604663487E-2</v>
      </c>
      <c r="AO27" s="56">
        <f t="shared" si="17"/>
        <v>7.9336458708979436E-3</v>
      </c>
      <c r="AP27" s="57">
        <f t="shared" si="18"/>
        <v>0.10036607687614399</v>
      </c>
      <c r="AQ27" s="56">
        <f t="shared" si="19"/>
        <v>0.74906588003933139</v>
      </c>
      <c r="AR27" s="56">
        <f t="shared" si="20"/>
        <v>0.89050021017234127</v>
      </c>
      <c r="AS27" s="56">
        <f t="shared" si="21"/>
        <v>0.95257021727609958</v>
      </c>
      <c r="AT27" s="56">
        <f t="shared" si="22"/>
        <v>0.99170573386224303</v>
      </c>
      <c r="AU27" s="57">
        <f t="shared" si="23"/>
        <v>0.87803538743136056</v>
      </c>
      <c r="AV27" s="52">
        <v>4002</v>
      </c>
      <c r="AW27" s="52">
        <v>4165</v>
      </c>
      <c r="AX27" s="52">
        <v>3519</v>
      </c>
      <c r="AY27" s="52">
        <v>2718</v>
      </c>
      <c r="AZ27" s="58">
        <f t="shared" si="25"/>
        <v>14404</v>
      </c>
      <c r="BA27" s="52">
        <v>3688</v>
      </c>
      <c r="BB27" s="52">
        <v>3810</v>
      </c>
      <c r="BC27" s="52">
        <v>3369</v>
      </c>
      <c r="BD27" s="52">
        <v>2624</v>
      </c>
      <c r="BE27" s="59">
        <f t="shared" si="27"/>
        <v>13491</v>
      </c>
      <c r="BF27" s="52">
        <v>2947</v>
      </c>
      <c r="BG27" s="52">
        <v>3360</v>
      </c>
      <c r="BH27" s="52">
        <v>3125</v>
      </c>
      <c r="BI27" s="52">
        <v>2549</v>
      </c>
      <c r="BJ27" s="60">
        <f t="shared" si="29"/>
        <v>11981</v>
      </c>
      <c r="BK27" s="52">
        <v>2114</v>
      </c>
      <c r="BL27" s="52">
        <v>2564</v>
      </c>
      <c r="BM27" s="52">
        <v>2522</v>
      </c>
      <c r="BN27" s="52">
        <v>2237</v>
      </c>
      <c r="BO27" s="55">
        <f t="shared" si="31"/>
        <v>9437</v>
      </c>
      <c r="BP27" s="61"/>
      <c r="BQ27" s="62">
        <f t="shared" si="51"/>
        <v>0.78702064896755164</v>
      </c>
      <c r="BR27" s="62">
        <f t="shared" si="52"/>
        <v>0.87536780159730976</v>
      </c>
      <c r="BS27" s="62">
        <f t="shared" si="53"/>
        <v>0.93243243243243246</v>
      </c>
      <c r="BT27" s="62">
        <f t="shared" si="54"/>
        <v>0.98016588532275517</v>
      </c>
      <c r="BU27" s="63">
        <f t="shared" si="32"/>
        <v>0.87882855399633919</v>
      </c>
      <c r="BV27" s="62">
        <f t="shared" si="33"/>
        <v>0.72527040314650937</v>
      </c>
      <c r="BW27" s="62">
        <f t="shared" si="34"/>
        <v>0.80075662042875162</v>
      </c>
      <c r="BX27" s="62">
        <f t="shared" si="35"/>
        <v>0.89268680445151039</v>
      </c>
      <c r="BY27" s="62">
        <f t="shared" si="36"/>
        <v>0.94626758023800939</v>
      </c>
      <c r="BZ27" s="64">
        <f t="shared" si="37"/>
        <v>0.82312385600976201</v>
      </c>
      <c r="CA27" s="62">
        <f t="shared" si="38"/>
        <v>0.57954768928220257</v>
      </c>
      <c r="CB27" s="62">
        <f t="shared" si="39"/>
        <v>0.70617906683480458</v>
      </c>
      <c r="CC27" s="62">
        <f t="shared" si="40"/>
        <v>0.82803391626921041</v>
      </c>
      <c r="CD27" s="62">
        <f t="shared" si="41"/>
        <v>0.91922106022358452</v>
      </c>
      <c r="CE27" s="65">
        <f t="shared" si="42"/>
        <v>0.73099450884685779</v>
      </c>
      <c r="CF27" s="62">
        <f t="shared" si="43"/>
        <v>0.41573254670599802</v>
      </c>
      <c r="CG27" s="62">
        <f t="shared" si="44"/>
        <v>0.53888188314417818</v>
      </c>
      <c r="CH27" s="62">
        <f t="shared" si="45"/>
        <v>0.66825649178590352</v>
      </c>
      <c r="CI27" s="62">
        <f t="shared" si="46"/>
        <v>0.80670753696357733</v>
      </c>
      <c r="CJ27" s="66">
        <f t="shared" si="47"/>
        <v>0.57577791336180595</v>
      </c>
      <c r="CK27" s="62">
        <f t="shared" si="77"/>
        <v>0.6268928220255654</v>
      </c>
      <c r="CL27" s="62">
        <f t="shared" si="77"/>
        <v>0.73029634300126101</v>
      </c>
      <c r="CM27" s="62">
        <f t="shared" si="77"/>
        <v>0.83035241123476422</v>
      </c>
      <c r="CN27" s="62">
        <f t="shared" si="77"/>
        <v>0.91309051568698163</v>
      </c>
      <c r="CO27" s="67">
        <f t="shared" si="49"/>
        <v>0.75218120805369115</v>
      </c>
      <c r="CP27" s="48"/>
    </row>
    <row r="28" spans="1:94" ht="30.75" customHeight="1" x14ac:dyDescent="0.3">
      <c r="A28" s="49">
        <v>23</v>
      </c>
      <c r="B28" s="50" t="s">
        <v>55</v>
      </c>
      <c r="C28" s="50" t="s">
        <v>62</v>
      </c>
      <c r="D28" s="85">
        <v>46143</v>
      </c>
      <c r="E28" s="52">
        <v>204</v>
      </c>
      <c r="F28" s="52">
        <v>183</v>
      </c>
      <c r="G28" s="53">
        <f t="shared" si="1"/>
        <v>0.8970588235294118</v>
      </c>
      <c r="H28" s="52">
        <v>6231</v>
      </c>
      <c r="I28" s="52">
        <v>5661</v>
      </c>
      <c r="J28" s="52">
        <v>4598</v>
      </c>
      <c r="K28" s="52">
        <v>3527</v>
      </c>
      <c r="L28" s="54">
        <f t="shared" si="3"/>
        <v>20017</v>
      </c>
      <c r="M28" s="52">
        <v>5691</v>
      </c>
      <c r="N28" s="52">
        <v>5150</v>
      </c>
      <c r="O28" s="52">
        <v>4253</v>
      </c>
      <c r="P28" s="52">
        <v>3276</v>
      </c>
      <c r="Q28" s="54">
        <f t="shared" si="5"/>
        <v>18370</v>
      </c>
      <c r="R28" s="52">
        <v>101</v>
      </c>
      <c r="S28" s="52">
        <v>58</v>
      </c>
      <c r="T28" s="52">
        <v>0</v>
      </c>
      <c r="U28" s="52">
        <v>0</v>
      </c>
      <c r="V28" s="55">
        <f t="shared" si="7"/>
        <v>159</v>
      </c>
      <c r="W28" s="52">
        <v>177</v>
      </c>
      <c r="X28" s="52">
        <v>92</v>
      </c>
      <c r="Y28" s="52">
        <v>2</v>
      </c>
      <c r="Z28" s="52">
        <v>3</v>
      </c>
      <c r="AA28" s="55">
        <f t="shared" si="9"/>
        <v>274</v>
      </c>
      <c r="AB28" s="52">
        <v>1209</v>
      </c>
      <c r="AC28" s="52">
        <v>430</v>
      </c>
      <c r="AD28" s="52">
        <v>155</v>
      </c>
      <c r="AE28" s="52">
        <v>46</v>
      </c>
      <c r="AF28" s="55">
        <f t="shared" si="11"/>
        <v>1840</v>
      </c>
      <c r="AG28" s="52">
        <v>4204</v>
      </c>
      <c r="AH28" s="52">
        <v>4570</v>
      </c>
      <c r="AI28" s="52">
        <v>4096</v>
      </c>
      <c r="AJ28" s="52">
        <v>3227</v>
      </c>
      <c r="AK28" s="55">
        <f t="shared" si="13"/>
        <v>16097</v>
      </c>
      <c r="AL28" s="56">
        <f t="shared" si="14"/>
        <v>0.2124406958355298</v>
      </c>
      <c r="AM28" s="56">
        <f t="shared" si="15"/>
        <v>8.3495145631067955E-2</v>
      </c>
      <c r="AN28" s="56">
        <f t="shared" si="16"/>
        <v>3.6444862450035267E-2</v>
      </c>
      <c r="AO28" s="56">
        <f t="shared" si="17"/>
        <v>1.4041514041514042E-2</v>
      </c>
      <c r="AP28" s="57">
        <f t="shared" si="18"/>
        <v>0.10016330974414807</v>
      </c>
      <c r="AQ28" s="56">
        <f t="shared" si="19"/>
        <v>0.73871024424529963</v>
      </c>
      <c r="AR28" s="56">
        <f t="shared" si="20"/>
        <v>0.88737864077669903</v>
      </c>
      <c r="AS28" s="56">
        <f t="shared" si="21"/>
        <v>0.96308488126028691</v>
      </c>
      <c r="AT28" s="56">
        <f t="shared" si="22"/>
        <v>0.9850427350427351</v>
      </c>
      <c r="AU28" s="57">
        <f t="shared" si="23"/>
        <v>0.87626565051714755</v>
      </c>
      <c r="AV28" s="52">
        <v>4376</v>
      </c>
      <c r="AW28" s="52">
        <v>4470</v>
      </c>
      <c r="AX28" s="52">
        <v>3991</v>
      </c>
      <c r="AY28" s="52">
        <v>3125</v>
      </c>
      <c r="AZ28" s="58">
        <f t="shared" si="25"/>
        <v>15962</v>
      </c>
      <c r="BA28" s="52">
        <v>3937</v>
      </c>
      <c r="BB28" s="52">
        <v>4185</v>
      </c>
      <c r="BC28" s="52">
        <v>3800</v>
      </c>
      <c r="BD28" s="52">
        <v>3120</v>
      </c>
      <c r="BE28" s="59">
        <f t="shared" si="27"/>
        <v>15042</v>
      </c>
      <c r="BF28" s="52">
        <v>3349</v>
      </c>
      <c r="BG28" s="52">
        <v>3766</v>
      </c>
      <c r="BH28" s="52">
        <v>3500</v>
      </c>
      <c r="BI28" s="52">
        <v>3035</v>
      </c>
      <c r="BJ28" s="60">
        <f t="shared" si="29"/>
        <v>13650</v>
      </c>
      <c r="BK28" s="52">
        <v>2407</v>
      </c>
      <c r="BL28" s="52">
        <v>2954</v>
      </c>
      <c r="BM28" s="52">
        <v>2991</v>
      </c>
      <c r="BN28" s="52">
        <v>2713</v>
      </c>
      <c r="BO28" s="55">
        <f t="shared" si="31"/>
        <v>11065</v>
      </c>
      <c r="BP28" s="61"/>
      <c r="BQ28" s="62">
        <f t="shared" si="51"/>
        <v>0.76893340361975049</v>
      </c>
      <c r="BR28" s="62">
        <f t="shared" si="52"/>
        <v>0.8679611650485437</v>
      </c>
      <c r="BS28" s="62">
        <f t="shared" si="53"/>
        <v>0.93839642605219842</v>
      </c>
      <c r="BT28" s="62">
        <f t="shared" si="54"/>
        <v>0.95390720390720396</v>
      </c>
      <c r="BU28" s="63">
        <f t="shared" si="32"/>
        <v>0.86891671203048448</v>
      </c>
      <c r="BV28" s="62">
        <f t="shared" si="33"/>
        <v>0.69179406079775085</v>
      </c>
      <c r="BW28" s="62">
        <f t="shared" si="34"/>
        <v>0.81262135922330092</v>
      </c>
      <c r="BX28" s="62">
        <f t="shared" si="35"/>
        <v>0.89348695038796144</v>
      </c>
      <c r="BY28" s="62">
        <f t="shared" si="36"/>
        <v>0.95238095238095233</v>
      </c>
      <c r="BZ28" s="64">
        <f t="shared" si="37"/>
        <v>0.81883505715841043</v>
      </c>
      <c r="CA28" s="62">
        <f t="shared" si="38"/>
        <v>0.58847302758741871</v>
      </c>
      <c r="CB28" s="62">
        <f t="shared" si="39"/>
        <v>0.73126213592233014</v>
      </c>
      <c r="CC28" s="62">
        <f t="shared" si="40"/>
        <v>0.8229485069362803</v>
      </c>
      <c r="CD28" s="62">
        <f t="shared" si="41"/>
        <v>0.92643467643467647</v>
      </c>
      <c r="CE28" s="65">
        <f t="shared" si="42"/>
        <v>0.74305933587370709</v>
      </c>
      <c r="CF28" s="62">
        <f t="shared" si="43"/>
        <v>0.42294851519943771</v>
      </c>
      <c r="CG28" s="62">
        <f t="shared" si="44"/>
        <v>0.57359223300970874</v>
      </c>
      <c r="CH28" s="62">
        <f t="shared" si="45"/>
        <v>0.70326828121326124</v>
      </c>
      <c r="CI28" s="62">
        <f t="shared" si="46"/>
        <v>0.8281440781440782</v>
      </c>
      <c r="CJ28" s="66">
        <f t="shared" si="47"/>
        <v>0.60234077299945565</v>
      </c>
      <c r="CK28" s="62">
        <f t="shared" si="77"/>
        <v>0.61803725180108937</v>
      </c>
      <c r="CL28" s="62">
        <f t="shared" si="77"/>
        <v>0.74635922330097082</v>
      </c>
      <c r="CM28" s="62">
        <f t="shared" si="77"/>
        <v>0.83952504114742532</v>
      </c>
      <c r="CN28" s="62">
        <f t="shared" si="77"/>
        <v>0.91521672771672768</v>
      </c>
      <c r="CO28" s="67">
        <f t="shared" si="49"/>
        <v>0.75828796951551436</v>
      </c>
      <c r="CP28" s="48"/>
    </row>
    <row r="29" spans="1:94" ht="30.75" customHeight="1" x14ac:dyDescent="0.3">
      <c r="A29" s="36" t="s">
        <v>63</v>
      </c>
      <c r="B29" s="37"/>
      <c r="C29" s="38"/>
      <c r="D29" s="39"/>
      <c r="E29" s="40">
        <f t="shared" ref="E29:F29" si="89">SUM(E30:E36)</f>
        <v>1393</v>
      </c>
      <c r="F29" s="40">
        <f t="shared" si="89"/>
        <v>1380</v>
      </c>
      <c r="G29" s="41">
        <f t="shared" si="1"/>
        <v>0.99066762383345297</v>
      </c>
      <c r="H29" s="40">
        <f t="shared" ref="H29:K29" si="90">SUM(H30:H36)</f>
        <v>57883</v>
      </c>
      <c r="I29" s="40">
        <f t="shared" si="90"/>
        <v>51209</v>
      </c>
      <c r="J29" s="40">
        <f t="shared" si="90"/>
        <v>39980</v>
      </c>
      <c r="K29" s="40">
        <f t="shared" si="90"/>
        <v>27911</v>
      </c>
      <c r="L29" s="42">
        <f t="shared" si="3"/>
        <v>176983</v>
      </c>
      <c r="M29" s="40">
        <f t="shared" ref="M29:P29" si="91">SUM(M30:M36)</f>
        <v>55501</v>
      </c>
      <c r="N29" s="40">
        <f t="shared" si="91"/>
        <v>49186</v>
      </c>
      <c r="O29" s="40">
        <f t="shared" si="91"/>
        <v>38333</v>
      </c>
      <c r="P29" s="40">
        <f t="shared" si="91"/>
        <v>26984</v>
      </c>
      <c r="Q29" s="42">
        <f t="shared" si="5"/>
        <v>170004</v>
      </c>
      <c r="R29" s="40">
        <f t="shared" ref="R29:U29" si="92">SUM(R30:R36)</f>
        <v>919</v>
      </c>
      <c r="S29" s="40">
        <f t="shared" si="92"/>
        <v>23</v>
      </c>
      <c r="T29" s="40">
        <f t="shared" si="92"/>
        <v>0</v>
      </c>
      <c r="U29" s="40">
        <f t="shared" si="92"/>
        <v>0</v>
      </c>
      <c r="V29" s="43">
        <f t="shared" si="7"/>
        <v>942</v>
      </c>
      <c r="W29" s="40">
        <f t="shared" ref="W29:Z29" si="93">SUM(W30:W36)</f>
        <v>2058</v>
      </c>
      <c r="X29" s="40">
        <f t="shared" si="93"/>
        <v>703</v>
      </c>
      <c r="Y29" s="40">
        <f t="shared" si="93"/>
        <v>64</v>
      </c>
      <c r="Z29" s="40">
        <f t="shared" si="93"/>
        <v>9</v>
      </c>
      <c r="AA29" s="43">
        <f t="shared" si="9"/>
        <v>2834</v>
      </c>
      <c r="AB29" s="40">
        <f t="shared" ref="AB29:AE29" si="94">SUM(AB30:AB36)</f>
        <v>10376</v>
      </c>
      <c r="AC29" s="40">
        <f t="shared" si="94"/>
        <v>4652</v>
      </c>
      <c r="AD29" s="40">
        <f t="shared" si="94"/>
        <v>1532</v>
      </c>
      <c r="AE29" s="40">
        <f t="shared" si="94"/>
        <v>244</v>
      </c>
      <c r="AF29" s="43">
        <f t="shared" si="11"/>
        <v>16804</v>
      </c>
      <c r="AG29" s="40">
        <f t="shared" ref="AG29:AJ29" si="95">SUM(AG30:AG36)</f>
        <v>42026</v>
      </c>
      <c r="AH29" s="40">
        <f t="shared" si="95"/>
        <v>43665</v>
      </c>
      <c r="AI29" s="40">
        <f t="shared" si="95"/>
        <v>36636</v>
      </c>
      <c r="AJ29" s="40">
        <f t="shared" si="95"/>
        <v>26622</v>
      </c>
      <c r="AK29" s="43">
        <f t="shared" si="13"/>
        <v>148949</v>
      </c>
      <c r="AL29" s="44">
        <f t="shared" si="14"/>
        <v>0.18695158645790166</v>
      </c>
      <c r="AM29" s="44">
        <f t="shared" si="15"/>
        <v>9.4579758467856712E-2</v>
      </c>
      <c r="AN29" s="44">
        <f t="shared" si="16"/>
        <v>3.9965564917955811E-2</v>
      </c>
      <c r="AO29" s="44">
        <f t="shared" si="17"/>
        <v>9.0423954936258519E-3</v>
      </c>
      <c r="AP29" s="44">
        <f t="shared" si="18"/>
        <v>9.8844733065104357E-2</v>
      </c>
      <c r="AQ29" s="44">
        <f t="shared" si="19"/>
        <v>0.75721158177330139</v>
      </c>
      <c r="AR29" s="44">
        <f t="shared" si="20"/>
        <v>0.88775261253202131</v>
      </c>
      <c r="AS29" s="44">
        <f t="shared" si="21"/>
        <v>0.95573004982652021</v>
      </c>
      <c r="AT29" s="44">
        <f t="shared" si="22"/>
        <v>0.98658464275126001</v>
      </c>
      <c r="AU29" s="44">
        <f t="shared" si="23"/>
        <v>0.87614997294181318</v>
      </c>
      <c r="AV29" s="40">
        <f t="shared" ref="AV29:AY29" si="96">SUM(AV30:AV36)</f>
        <v>42626</v>
      </c>
      <c r="AW29" s="40">
        <f t="shared" si="96"/>
        <v>43006</v>
      </c>
      <c r="AX29" s="40">
        <f t="shared" si="96"/>
        <v>36090</v>
      </c>
      <c r="AY29" s="40">
        <f t="shared" si="96"/>
        <v>26263</v>
      </c>
      <c r="AZ29" s="43">
        <f t="shared" si="25"/>
        <v>147985</v>
      </c>
      <c r="BA29" s="40">
        <f t="shared" ref="BA29:BD29" si="97">SUM(BA30:BA36)</f>
        <v>38322</v>
      </c>
      <c r="BB29" s="40">
        <f t="shared" si="97"/>
        <v>39686</v>
      </c>
      <c r="BC29" s="40">
        <f t="shared" si="97"/>
        <v>34385</v>
      </c>
      <c r="BD29" s="40">
        <f t="shared" si="97"/>
        <v>25755</v>
      </c>
      <c r="BE29" s="43">
        <f t="shared" si="27"/>
        <v>138148</v>
      </c>
      <c r="BF29" s="40">
        <f t="shared" ref="BF29:BI29" si="98">SUM(BF30:BF36)</f>
        <v>30401</v>
      </c>
      <c r="BG29" s="40">
        <f t="shared" si="98"/>
        <v>34535</v>
      </c>
      <c r="BH29" s="40">
        <f t="shared" si="98"/>
        <v>31869</v>
      </c>
      <c r="BI29" s="40">
        <f t="shared" si="98"/>
        <v>24739</v>
      </c>
      <c r="BJ29" s="43">
        <f t="shared" si="29"/>
        <v>121544</v>
      </c>
      <c r="BK29" s="40">
        <f t="shared" ref="BK29:BN29" si="99">SUM(BK30:BK36)</f>
        <v>22061</v>
      </c>
      <c r="BL29" s="40">
        <f t="shared" si="99"/>
        <v>27360</v>
      </c>
      <c r="BM29" s="40">
        <f t="shared" si="99"/>
        <v>27578</v>
      </c>
      <c r="BN29" s="40">
        <f t="shared" si="99"/>
        <v>22542</v>
      </c>
      <c r="BO29" s="43">
        <f t="shared" si="31"/>
        <v>99541</v>
      </c>
      <c r="BP29" s="45"/>
      <c r="BQ29" s="46">
        <f t="shared" si="51"/>
        <v>0.76802219779823788</v>
      </c>
      <c r="BR29" s="46">
        <f t="shared" si="52"/>
        <v>0.87435449111535801</v>
      </c>
      <c r="BS29" s="46">
        <f t="shared" si="53"/>
        <v>0.94148644770824097</v>
      </c>
      <c r="BT29" s="46">
        <f t="shared" si="54"/>
        <v>0.97328046249629407</v>
      </c>
      <c r="BU29" s="46">
        <f t="shared" si="32"/>
        <v>0.87047951812898516</v>
      </c>
      <c r="BV29" s="46">
        <f t="shared" si="33"/>
        <v>0.69047404551269342</v>
      </c>
      <c r="BW29" s="46">
        <f t="shared" si="34"/>
        <v>0.80685560931972511</v>
      </c>
      <c r="BX29" s="46">
        <f t="shared" si="35"/>
        <v>0.89700780006782665</v>
      </c>
      <c r="BY29" s="46">
        <f t="shared" si="36"/>
        <v>0.95445449155054851</v>
      </c>
      <c r="BZ29" s="47">
        <f t="shared" si="37"/>
        <v>0.8126161737370885</v>
      </c>
      <c r="CA29" s="46">
        <f t="shared" si="38"/>
        <v>0.54775589629015697</v>
      </c>
      <c r="CB29" s="46">
        <f t="shared" si="39"/>
        <v>0.70213068759403086</v>
      </c>
      <c r="CC29" s="46">
        <f t="shared" si="40"/>
        <v>0.831372446716928</v>
      </c>
      <c r="CD29" s="46">
        <f t="shared" si="41"/>
        <v>0.91680254965905716</v>
      </c>
      <c r="CE29" s="47">
        <f t="shared" si="42"/>
        <v>0.71494788357920991</v>
      </c>
      <c r="CF29" s="46">
        <f t="shared" si="43"/>
        <v>0.39748833354353974</v>
      </c>
      <c r="CG29" s="46">
        <f t="shared" si="44"/>
        <v>0.55625584515919169</v>
      </c>
      <c r="CH29" s="46">
        <f t="shared" si="45"/>
        <v>0.71943234288993818</v>
      </c>
      <c r="CI29" s="46">
        <f t="shared" si="46"/>
        <v>0.83538393121849985</v>
      </c>
      <c r="CJ29" s="47">
        <f t="shared" si="47"/>
        <v>0.58552151714077316</v>
      </c>
      <c r="CK29" s="46">
        <f t="shared" si="77"/>
        <v>0.60093511828615687</v>
      </c>
      <c r="CL29" s="46">
        <f t="shared" si="77"/>
        <v>0.73489915829707642</v>
      </c>
      <c r="CM29" s="46">
        <f t="shared" si="77"/>
        <v>0.84732475934573337</v>
      </c>
      <c r="CN29" s="46">
        <f t="shared" si="77"/>
        <v>0.91998035873109985</v>
      </c>
      <c r="CO29" s="47">
        <f t="shared" si="49"/>
        <v>0.74589127314651416</v>
      </c>
      <c r="CP29" s="48"/>
    </row>
    <row r="30" spans="1:94" ht="30.75" customHeight="1" x14ac:dyDescent="0.3">
      <c r="A30" s="49">
        <v>24</v>
      </c>
      <c r="B30" s="50" t="s">
        <v>64</v>
      </c>
      <c r="C30" s="50" t="s">
        <v>65</v>
      </c>
      <c r="D30" s="85">
        <v>46143</v>
      </c>
      <c r="E30" s="52">
        <v>188</v>
      </c>
      <c r="F30" s="52">
        <v>188</v>
      </c>
      <c r="G30" s="53">
        <f t="shared" si="1"/>
        <v>1</v>
      </c>
      <c r="H30" s="52">
        <v>8503</v>
      </c>
      <c r="I30" s="52">
        <v>7396</v>
      </c>
      <c r="J30" s="52">
        <v>5699</v>
      </c>
      <c r="K30" s="52">
        <v>3922</v>
      </c>
      <c r="L30" s="54">
        <f t="shared" si="3"/>
        <v>25520</v>
      </c>
      <c r="M30" s="52">
        <v>8277</v>
      </c>
      <c r="N30" s="52">
        <v>7253</v>
      </c>
      <c r="O30" s="52">
        <v>5590</v>
      </c>
      <c r="P30" s="52">
        <v>3878</v>
      </c>
      <c r="Q30" s="54">
        <f t="shared" si="5"/>
        <v>24998</v>
      </c>
      <c r="R30" s="52">
        <v>20</v>
      </c>
      <c r="S30" s="52">
        <v>0</v>
      </c>
      <c r="T30" s="52">
        <v>0</v>
      </c>
      <c r="U30" s="52">
        <v>0</v>
      </c>
      <c r="V30" s="55">
        <f t="shared" si="7"/>
        <v>20</v>
      </c>
      <c r="W30" s="52">
        <v>292</v>
      </c>
      <c r="X30" s="52">
        <v>48</v>
      </c>
      <c r="Y30" s="52">
        <v>1</v>
      </c>
      <c r="Z30" s="52">
        <v>0</v>
      </c>
      <c r="AA30" s="55">
        <f t="shared" si="9"/>
        <v>341</v>
      </c>
      <c r="AB30" s="52">
        <v>1689</v>
      </c>
      <c r="AC30" s="52">
        <v>806</v>
      </c>
      <c r="AD30" s="52">
        <v>221</v>
      </c>
      <c r="AE30" s="52">
        <v>37</v>
      </c>
      <c r="AF30" s="55">
        <f t="shared" si="11"/>
        <v>2753</v>
      </c>
      <c r="AG30" s="52">
        <v>6232</v>
      </c>
      <c r="AH30" s="52">
        <v>6386</v>
      </c>
      <c r="AI30" s="52">
        <v>5346</v>
      </c>
      <c r="AJ30" s="52">
        <v>3836</v>
      </c>
      <c r="AK30" s="55">
        <f t="shared" si="13"/>
        <v>21800</v>
      </c>
      <c r="AL30" s="56">
        <f t="shared" si="14"/>
        <v>0.20405944182674882</v>
      </c>
      <c r="AM30" s="56">
        <f t="shared" si="15"/>
        <v>0.11112643044257549</v>
      </c>
      <c r="AN30" s="56">
        <f t="shared" si="16"/>
        <v>3.9534883720930232E-2</v>
      </c>
      <c r="AO30" s="56">
        <f t="shared" si="17"/>
        <v>9.5410005157297584E-3</v>
      </c>
      <c r="AP30" s="57">
        <f t="shared" si="18"/>
        <v>0.11012881030482438</v>
      </c>
      <c r="AQ30" s="56">
        <f t="shared" si="19"/>
        <v>0.75292980548507915</v>
      </c>
      <c r="AR30" s="56">
        <f t="shared" si="20"/>
        <v>0.88046325658348268</v>
      </c>
      <c r="AS30" s="56">
        <f t="shared" si="21"/>
        <v>0.95635062611806798</v>
      </c>
      <c r="AT30" s="56">
        <f t="shared" si="22"/>
        <v>0.98916967509025266</v>
      </c>
      <c r="AU30" s="57">
        <f t="shared" si="23"/>
        <v>0.87206976558124649</v>
      </c>
      <c r="AV30" s="52">
        <v>6382</v>
      </c>
      <c r="AW30" s="52">
        <v>6358</v>
      </c>
      <c r="AX30" s="52">
        <v>5296</v>
      </c>
      <c r="AY30" s="52">
        <v>3819</v>
      </c>
      <c r="AZ30" s="58">
        <f t="shared" si="25"/>
        <v>21855</v>
      </c>
      <c r="BA30" s="52">
        <v>5915</v>
      </c>
      <c r="BB30" s="52">
        <v>5963</v>
      </c>
      <c r="BC30" s="52">
        <v>5108</v>
      </c>
      <c r="BD30" s="52">
        <v>3737</v>
      </c>
      <c r="BE30" s="59">
        <f t="shared" si="27"/>
        <v>20723</v>
      </c>
      <c r="BF30" s="52">
        <v>4795</v>
      </c>
      <c r="BG30" s="52">
        <v>5088</v>
      </c>
      <c r="BH30" s="52">
        <v>4751</v>
      </c>
      <c r="BI30" s="52">
        <v>3596</v>
      </c>
      <c r="BJ30" s="60">
        <f t="shared" si="29"/>
        <v>18230</v>
      </c>
      <c r="BK30" s="52">
        <v>3999</v>
      </c>
      <c r="BL30" s="52">
        <v>4346</v>
      </c>
      <c r="BM30" s="52">
        <v>4432</v>
      </c>
      <c r="BN30" s="52">
        <v>3386</v>
      </c>
      <c r="BO30" s="55">
        <f t="shared" si="31"/>
        <v>16163</v>
      </c>
      <c r="BP30" s="61"/>
      <c r="BQ30" s="62">
        <f t="shared" si="51"/>
        <v>0.77105231364020776</v>
      </c>
      <c r="BR30" s="62">
        <f t="shared" si="52"/>
        <v>0.87660278505446021</v>
      </c>
      <c r="BS30" s="62">
        <f t="shared" si="53"/>
        <v>0.94740608228980328</v>
      </c>
      <c r="BT30" s="62">
        <f t="shared" si="54"/>
        <v>0.98478597215059305</v>
      </c>
      <c r="BU30" s="63">
        <f t="shared" si="32"/>
        <v>0.87426994159532767</v>
      </c>
      <c r="BV30" s="62">
        <f t="shared" si="33"/>
        <v>0.71463090491724057</v>
      </c>
      <c r="BW30" s="62">
        <f t="shared" si="34"/>
        <v>0.82214256169860744</v>
      </c>
      <c r="BX30" s="62">
        <f t="shared" si="35"/>
        <v>0.9137745974955277</v>
      </c>
      <c r="BY30" s="62">
        <f t="shared" si="36"/>
        <v>0.96364105208870554</v>
      </c>
      <c r="BZ30" s="64">
        <f t="shared" si="37"/>
        <v>0.82898631890551244</v>
      </c>
      <c r="CA30" s="62">
        <f t="shared" si="38"/>
        <v>0.57931617735894647</v>
      </c>
      <c r="CB30" s="62">
        <f t="shared" si="39"/>
        <v>0.70150282641665518</v>
      </c>
      <c r="CC30" s="62">
        <f t="shared" si="40"/>
        <v>0.84991055456171738</v>
      </c>
      <c r="CD30" s="62">
        <f t="shared" si="41"/>
        <v>0.92728210417741108</v>
      </c>
      <c r="CE30" s="65">
        <f t="shared" si="42"/>
        <v>0.72925834066725337</v>
      </c>
      <c r="CF30" s="62">
        <f t="shared" si="43"/>
        <v>0.48314606741573035</v>
      </c>
      <c r="CG30" s="62">
        <f t="shared" si="44"/>
        <v>0.59920033089755964</v>
      </c>
      <c r="CH30" s="62">
        <f t="shared" si="45"/>
        <v>0.79284436493738819</v>
      </c>
      <c r="CI30" s="62">
        <f t="shared" si="46"/>
        <v>0.87313047962867463</v>
      </c>
      <c r="CJ30" s="66">
        <f t="shared" si="47"/>
        <v>0.6465717257380591</v>
      </c>
      <c r="CK30" s="62">
        <f t="shared" si="77"/>
        <v>0.63703636583303136</v>
      </c>
      <c r="CL30" s="62">
        <f t="shared" si="77"/>
        <v>0.74986212601682067</v>
      </c>
      <c r="CM30" s="62">
        <f t="shared" si="77"/>
        <v>0.87598389982110914</v>
      </c>
      <c r="CN30" s="62">
        <f t="shared" si="77"/>
        <v>0.93720990201134613</v>
      </c>
      <c r="CO30" s="67">
        <f t="shared" si="49"/>
        <v>0.76977158172653826</v>
      </c>
      <c r="CP30" s="48"/>
    </row>
    <row r="31" spans="1:94" ht="30.75" customHeight="1" x14ac:dyDescent="0.3">
      <c r="A31" s="49">
        <v>25</v>
      </c>
      <c r="B31" s="50" t="s">
        <v>64</v>
      </c>
      <c r="C31" s="50" t="s">
        <v>66</v>
      </c>
      <c r="D31" s="85">
        <v>46143</v>
      </c>
      <c r="E31" s="52">
        <v>314</v>
      </c>
      <c r="F31" s="52">
        <v>314</v>
      </c>
      <c r="G31" s="53">
        <f t="shared" si="1"/>
        <v>1</v>
      </c>
      <c r="H31" s="52">
        <v>12258</v>
      </c>
      <c r="I31" s="52">
        <v>10723</v>
      </c>
      <c r="J31" s="52">
        <v>8399</v>
      </c>
      <c r="K31" s="52">
        <v>5725</v>
      </c>
      <c r="L31" s="54">
        <f t="shared" si="3"/>
        <v>37105</v>
      </c>
      <c r="M31" s="52">
        <v>11407</v>
      </c>
      <c r="N31" s="52">
        <v>10073</v>
      </c>
      <c r="O31" s="52">
        <v>7886</v>
      </c>
      <c r="P31" s="52">
        <v>5490</v>
      </c>
      <c r="Q31" s="54">
        <f t="shared" si="5"/>
        <v>34856</v>
      </c>
      <c r="R31" s="52">
        <v>501</v>
      </c>
      <c r="S31" s="52">
        <v>7</v>
      </c>
      <c r="T31" s="52">
        <v>0</v>
      </c>
      <c r="U31" s="52">
        <v>0</v>
      </c>
      <c r="V31" s="55">
        <f t="shared" si="7"/>
        <v>508</v>
      </c>
      <c r="W31" s="52">
        <v>756</v>
      </c>
      <c r="X31" s="52">
        <v>279</v>
      </c>
      <c r="Y31" s="52">
        <v>41</v>
      </c>
      <c r="Z31" s="52">
        <v>9</v>
      </c>
      <c r="AA31" s="55">
        <f t="shared" si="9"/>
        <v>1085</v>
      </c>
      <c r="AB31" s="52">
        <v>3052</v>
      </c>
      <c r="AC31" s="52">
        <v>1356</v>
      </c>
      <c r="AD31" s="52">
        <v>574</v>
      </c>
      <c r="AE31" s="52">
        <v>104</v>
      </c>
      <c r="AF31" s="55">
        <f t="shared" si="11"/>
        <v>5086</v>
      </c>
      <c r="AG31" s="52">
        <v>7098</v>
      </c>
      <c r="AH31" s="52">
        <v>8431</v>
      </c>
      <c r="AI31" s="52">
        <v>7268</v>
      </c>
      <c r="AJ31" s="52">
        <v>5377</v>
      </c>
      <c r="AK31" s="55">
        <f t="shared" si="13"/>
        <v>28174</v>
      </c>
      <c r="AL31" s="56">
        <f t="shared" si="14"/>
        <v>0.26755501008152888</v>
      </c>
      <c r="AM31" s="56">
        <f t="shared" si="15"/>
        <v>0.13461729375558423</v>
      </c>
      <c r="AN31" s="56">
        <f t="shared" si="16"/>
        <v>7.2787217854425559E-2</v>
      </c>
      <c r="AO31" s="56">
        <f t="shared" si="17"/>
        <v>1.8943533697632058E-2</v>
      </c>
      <c r="AP31" s="57">
        <f t="shared" si="18"/>
        <v>0.14591462015148038</v>
      </c>
      <c r="AQ31" s="56">
        <f t="shared" si="19"/>
        <v>0.62224949592355572</v>
      </c>
      <c r="AR31" s="56">
        <f t="shared" si="20"/>
        <v>0.83698997319567159</v>
      </c>
      <c r="AS31" s="56">
        <f t="shared" si="21"/>
        <v>0.92163327415673346</v>
      </c>
      <c r="AT31" s="56">
        <f t="shared" si="22"/>
        <v>0.97941712204007281</v>
      </c>
      <c r="AU31" s="57">
        <f t="shared" si="23"/>
        <v>0.80829699334404403</v>
      </c>
      <c r="AV31" s="52">
        <v>7739</v>
      </c>
      <c r="AW31" s="52">
        <v>8047</v>
      </c>
      <c r="AX31" s="52">
        <v>7033</v>
      </c>
      <c r="AY31" s="52">
        <v>5127</v>
      </c>
      <c r="AZ31" s="58">
        <f t="shared" si="25"/>
        <v>27946</v>
      </c>
      <c r="BA31" s="52">
        <v>6613</v>
      </c>
      <c r="BB31" s="52">
        <v>7156</v>
      </c>
      <c r="BC31" s="52">
        <v>6468</v>
      </c>
      <c r="BD31" s="52">
        <v>5002</v>
      </c>
      <c r="BE31" s="59">
        <f t="shared" si="27"/>
        <v>25239</v>
      </c>
      <c r="BF31" s="52">
        <v>4614</v>
      </c>
      <c r="BG31" s="52">
        <v>5817</v>
      </c>
      <c r="BH31" s="52">
        <v>5779</v>
      </c>
      <c r="BI31" s="52">
        <v>4737</v>
      </c>
      <c r="BJ31" s="60">
        <f t="shared" si="29"/>
        <v>20947</v>
      </c>
      <c r="BK31" s="52">
        <v>2936</v>
      </c>
      <c r="BL31" s="52">
        <v>4201</v>
      </c>
      <c r="BM31" s="52">
        <v>4570</v>
      </c>
      <c r="BN31" s="52">
        <v>4115</v>
      </c>
      <c r="BO31" s="55">
        <f t="shared" si="31"/>
        <v>15822</v>
      </c>
      <c r="BP31" s="61"/>
      <c r="BQ31" s="62">
        <f t="shared" si="51"/>
        <v>0.67844306127816256</v>
      </c>
      <c r="BR31" s="62">
        <f t="shared" si="52"/>
        <v>0.7988682616896654</v>
      </c>
      <c r="BS31" s="62">
        <f t="shared" si="53"/>
        <v>0.89183362921633269</v>
      </c>
      <c r="BT31" s="62">
        <f t="shared" si="54"/>
        <v>0.933879781420765</v>
      </c>
      <c r="BU31" s="63">
        <f t="shared" si="32"/>
        <v>0.80175579527197616</v>
      </c>
      <c r="BV31" s="62">
        <f t="shared" si="33"/>
        <v>0.57973174366616986</v>
      </c>
      <c r="BW31" s="62">
        <f t="shared" si="34"/>
        <v>0.71041397796088557</v>
      </c>
      <c r="BX31" s="62">
        <f t="shared" si="35"/>
        <v>0.8201876743596247</v>
      </c>
      <c r="BY31" s="62">
        <f t="shared" si="36"/>
        <v>0.91111111111111109</v>
      </c>
      <c r="BZ31" s="64">
        <f t="shared" si="37"/>
        <v>0.72409341289878359</v>
      </c>
      <c r="CA31" s="62">
        <f t="shared" si="38"/>
        <v>0.40448847199088278</v>
      </c>
      <c r="CB31" s="62">
        <f t="shared" si="39"/>
        <v>0.57748436414176507</v>
      </c>
      <c r="CC31" s="62">
        <f t="shared" si="40"/>
        <v>0.73281765153436473</v>
      </c>
      <c r="CD31" s="62">
        <f t="shared" si="41"/>
        <v>0.86284153005464481</v>
      </c>
      <c r="CE31" s="65">
        <f t="shared" si="42"/>
        <v>0.60095822813862754</v>
      </c>
      <c r="CF31" s="62">
        <f t="shared" si="43"/>
        <v>0.25738581572718505</v>
      </c>
      <c r="CG31" s="62">
        <f t="shared" si="44"/>
        <v>0.41705549488732252</v>
      </c>
      <c r="CH31" s="62">
        <f t="shared" si="45"/>
        <v>0.57950798884098398</v>
      </c>
      <c r="CI31" s="62">
        <f t="shared" si="46"/>
        <v>0.74954462659380694</v>
      </c>
      <c r="CJ31" s="66">
        <f t="shared" si="47"/>
        <v>0.45392471884324076</v>
      </c>
      <c r="CK31" s="62">
        <f t="shared" si="77"/>
        <v>0.48001227316560008</v>
      </c>
      <c r="CL31" s="62">
        <f t="shared" si="77"/>
        <v>0.62595552466990967</v>
      </c>
      <c r="CM31" s="62">
        <f t="shared" si="77"/>
        <v>0.7560867359878265</v>
      </c>
      <c r="CN31" s="62">
        <f t="shared" si="77"/>
        <v>0.86434426229508199</v>
      </c>
      <c r="CO31" s="67">
        <f t="shared" si="49"/>
        <v>0.64518303878815697</v>
      </c>
      <c r="CP31" s="48"/>
    </row>
    <row r="32" spans="1:94" ht="30.75" customHeight="1" x14ac:dyDescent="0.3">
      <c r="A32" s="49">
        <v>26</v>
      </c>
      <c r="B32" s="50" t="s">
        <v>64</v>
      </c>
      <c r="C32" s="50" t="s">
        <v>67</v>
      </c>
      <c r="D32" s="85">
        <v>46143</v>
      </c>
      <c r="E32" s="52">
        <v>53</v>
      </c>
      <c r="F32" s="52">
        <v>53</v>
      </c>
      <c r="G32" s="53">
        <f t="shared" si="1"/>
        <v>1</v>
      </c>
      <c r="H32" s="52">
        <v>3010</v>
      </c>
      <c r="I32" s="52">
        <v>3065</v>
      </c>
      <c r="J32" s="52">
        <v>2537</v>
      </c>
      <c r="K32" s="52">
        <v>2135</v>
      </c>
      <c r="L32" s="54">
        <f t="shared" si="3"/>
        <v>10747</v>
      </c>
      <c r="M32" s="52">
        <v>2887</v>
      </c>
      <c r="N32" s="52">
        <v>2941</v>
      </c>
      <c r="O32" s="52">
        <v>2435</v>
      </c>
      <c r="P32" s="52">
        <v>2100</v>
      </c>
      <c r="Q32" s="54">
        <f t="shared" si="5"/>
        <v>10363</v>
      </c>
      <c r="R32" s="52">
        <v>48</v>
      </c>
      <c r="S32" s="52">
        <v>10</v>
      </c>
      <c r="T32" s="52">
        <v>0</v>
      </c>
      <c r="U32" s="52">
        <v>0</v>
      </c>
      <c r="V32" s="55">
        <f t="shared" si="7"/>
        <v>58</v>
      </c>
      <c r="W32" s="52">
        <v>167</v>
      </c>
      <c r="X32" s="52">
        <v>26</v>
      </c>
      <c r="Y32" s="52">
        <v>14</v>
      </c>
      <c r="Z32" s="52">
        <v>0</v>
      </c>
      <c r="AA32" s="55">
        <f t="shared" si="9"/>
        <v>207</v>
      </c>
      <c r="AB32" s="52">
        <v>805</v>
      </c>
      <c r="AC32" s="52">
        <v>547</v>
      </c>
      <c r="AD32" s="52">
        <v>199</v>
      </c>
      <c r="AE32" s="52">
        <v>12</v>
      </c>
      <c r="AF32" s="55">
        <f t="shared" si="11"/>
        <v>1563</v>
      </c>
      <c r="AG32" s="52">
        <v>1789</v>
      </c>
      <c r="AH32" s="52">
        <v>2228</v>
      </c>
      <c r="AI32" s="52">
        <v>2146</v>
      </c>
      <c r="AJ32" s="52">
        <v>1988</v>
      </c>
      <c r="AK32" s="55">
        <f t="shared" si="13"/>
        <v>8151</v>
      </c>
      <c r="AL32" s="56">
        <f t="shared" si="14"/>
        <v>0.27883616210599238</v>
      </c>
      <c r="AM32" s="56">
        <f t="shared" si="15"/>
        <v>0.18599115946956818</v>
      </c>
      <c r="AN32" s="56">
        <f t="shared" si="16"/>
        <v>8.1724845995893219E-2</v>
      </c>
      <c r="AO32" s="56">
        <f t="shared" si="17"/>
        <v>5.7142857142857143E-3</v>
      </c>
      <c r="AP32" s="57">
        <f t="shared" si="18"/>
        <v>0.15082505066100549</v>
      </c>
      <c r="AQ32" s="56">
        <f t="shared" si="19"/>
        <v>0.61967440249393835</v>
      </c>
      <c r="AR32" s="56">
        <f t="shared" si="20"/>
        <v>0.75756545392723562</v>
      </c>
      <c r="AS32" s="56">
        <f t="shared" si="21"/>
        <v>0.88131416837782339</v>
      </c>
      <c r="AT32" s="56">
        <f t="shared" si="22"/>
        <v>0.94666666666666666</v>
      </c>
      <c r="AU32" s="57">
        <f t="shared" si="23"/>
        <v>0.78654829682524363</v>
      </c>
      <c r="AV32" s="52">
        <v>2105</v>
      </c>
      <c r="AW32" s="52">
        <v>2573</v>
      </c>
      <c r="AX32" s="52">
        <v>2313</v>
      </c>
      <c r="AY32" s="52">
        <v>2074</v>
      </c>
      <c r="AZ32" s="58">
        <f t="shared" si="25"/>
        <v>9065</v>
      </c>
      <c r="BA32" s="52">
        <v>1692</v>
      </c>
      <c r="BB32" s="52">
        <v>2270</v>
      </c>
      <c r="BC32" s="52">
        <v>2119</v>
      </c>
      <c r="BD32" s="52">
        <v>2009</v>
      </c>
      <c r="BE32" s="59">
        <f t="shared" si="27"/>
        <v>8090</v>
      </c>
      <c r="BF32" s="52">
        <v>1236</v>
      </c>
      <c r="BG32" s="52">
        <v>1944</v>
      </c>
      <c r="BH32" s="52">
        <v>1953</v>
      </c>
      <c r="BI32" s="52">
        <v>1882</v>
      </c>
      <c r="BJ32" s="60">
        <f t="shared" si="29"/>
        <v>7015</v>
      </c>
      <c r="BK32" s="52">
        <v>691</v>
      </c>
      <c r="BL32" s="52">
        <v>1131</v>
      </c>
      <c r="BM32" s="52">
        <v>1500</v>
      </c>
      <c r="BN32" s="52">
        <v>1664</v>
      </c>
      <c r="BO32" s="55">
        <f t="shared" si="31"/>
        <v>4986</v>
      </c>
      <c r="BP32" s="61"/>
      <c r="BQ32" s="62">
        <f t="shared" si="51"/>
        <v>0.72913058538275022</v>
      </c>
      <c r="BR32" s="62">
        <f t="shared" si="52"/>
        <v>0.87487249234954101</v>
      </c>
      <c r="BS32" s="62">
        <f t="shared" si="53"/>
        <v>0.94989733059548254</v>
      </c>
      <c r="BT32" s="62">
        <f t="shared" si="54"/>
        <v>0.98761904761904762</v>
      </c>
      <c r="BU32" s="63">
        <f t="shared" si="32"/>
        <v>0.87474669497249835</v>
      </c>
      <c r="BV32" s="62">
        <f t="shared" si="33"/>
        <v>0.5860755109109802</v>
      </c>
      <c r="BW32" s="62">
        <f t="shared" si="34"/>
        <v>0.77184631077864674</v>
      </c>
      <c r="BX32" s="62">
        <f t="shared" si="35"/>
        <v>0.87022587268993845</v>
      </c>
      <c r="BY32" s="62">
        <f t="shared" si="36"/>
        <v>0.95666666666666667</v>
      </c>
      <c r="BZ32" s="64">
        <f t="shared" si="37"/>
        <v>0.78066197047187103</v>
      </c>
      <c r="CA32" s="62">
        <f t="shared" si="38"/>
        <v>0.42812608243851752</v>
      </c>
      <c r="CB32" s="62">
        <f t="shared" si="39"/>
        <v>0.66099965997959875</v>
      </c>
      <c r="CC32" s="62">
        <f t="shared" si="40"/>
        <v>0.8020533880903491</v>
      </c>
      <c r="CD32" s="62">
        <f t="shared" si="41"/>
        <v>0.8961904761904762</v>
      </c>
      <c r="CE32" s="65">
        <f t="shared" si="42"/>
        <v>0.67692753063784616</v>
      </c>
      <c r="CF32" s="62">
        <f t="shared" si="43"/>
        <v>0.2393488049878767</v>
      </c>
      <c r="CG32" s="62">
        <f t="shared" si="44"/>
        <v>0.38456307378442706</v>
      </c>
      <c r="CH32" s="62">
        <f t="shared" si="45"/>
        <v>0.61601642710472282</v>
      </c>
      <c r="CI32" s="62">
        <f t="shared" si="46"/>
        <v>0.79238095238095241</v>
      </c>
      <c r="CJ32" s="66">
        <f t="shared" si="47"/>
        <v>0.48113480652320756</v>
      </c>
      <c r="CK32" s="62">
        <f t="shared" si="77"/>
        <v>0.49567024593003117</v>
      </c>
      <c r="CL32" s="62">
        <f t="shared" si="77"/>
        <v>0.67307038422305343</v>
      </c>
      <c r="CM32" s="62">
        <f t="shared" si="77"/>
        <v>0.80954825462012325</v>
      </c>
      <c r="CN32" s="62">
        <f t="shared" si="77"/>
        <v>0.90821428571428575</v>
      </c>
      <c r="CO32" s="67">
        <f t="shared" si="49"/>
        <v>0.70336775065135582</v>
      </c>
      <c r="CP32" s="48"/>
    </row>
    <row r="33" spans="1:94" ht="30.75" customHeight="1" x14ac:dyDescent="0.3">
      <c r="A33" s="49">
        <v>27</v>
      </c>
      <c r="B33" s="50" t="s">
        <v>64</v>
      </c>
      <c r="C33" s="50" t="s">
        <v>68</v>
      </c>
      <c r="D33" s="85">
        <v>46143</v>
      </c>
      <c r="E33" s="52">
        <v>250</v>
      </c>
      <c r="F33" s="52">
        <v>249</v>
      </c>
      <c r="G33" s="53">
        <f t="shared" si="1"/>
        <v>0.996</v>
      </c>
      <c r="H33" s="52">
        <v>12183</v>
      </c>
      <c r="I33" s="52">
        <v>10807</v>
      </c>
      <c r="J33" s="52">
        <v>8345</v>
      </c>
      <c r="K33" s="52">
        <v>5981</v>
      </c>
      <c r="L33" s="54">
        <f t="shared" si="3"/>
        <v>37316</v>
      </c>
      <c r="M33" s="52">
        <v>11563</v>
      </c>
      <c r="N33" s="52">
        <v>10250</v>
      </c>
      <c r="O33" s="52">
        <v>7911</v>
      </c>
      <c r="P33" s="52">
        <v>5725</v>
      </c>
      <c r="Q33" s="54">
        <f t="shared" si="5"/>
        <v>35449</v>
      </c>
      <c r="R33" s="52">
        <v>213</v>
      </c>
      <c r="S33" s="52">
        <v>0</v>
      </c>
      <c r="T33" s="52">
        <v>0</v>
      </c>
      <c r="U33" s="52">
        <v>0</v>
      </c>
      <c r="V33" s="55">
        <f t="shared" si="7"/>
        <v>213</v>
      </c>
      <c r="W33" s="52">
        <v>352</v>
      </c>
      <c r="X33" s="52">
        <v>233</v>
      </c>
      <c r="Y33" s="52">
        <v>0</v>
      </c>
      <c r="Z33" s="52">
        <v>0</v>
      </c>
      <c r="AA33" s="55">
        <f t="shared" si="9"/>
        <v>585</v>
      </c>
      <c r="AB33" s="52">
        <v>2024</v>
      </c>
      <c r="AC33" s="52">
        <v>777</v>
      </c>
      <c r="AD33" s="52">
        <v>291</v>
      </c>
      <c r="AE33" s="52">
        <v>51</v>
      </c>
      <c r="AF33" s="55">
        <f t="shared" si="11"/>
        <v>3143</v>
      </c>
      <c r="AG33" s="52">
        <v>8974</v>
      </c>
      <c r="AH33" s="52">
        <v>9240</v>
      </c>
      <c r="AI33" s="52">
        <v>7620</v>
      </c>
      <c r="AJ33" s="52">
        <v>5674</v>
      </c>
      <c r="AK33" s="55">
        <f t="shared" si="13"/>
        <v>31508</v>
      </c>
      <c r="AL33" s="56">
        <f t="shared" si="14"/>
        <v>0.17504107930467872</v>
      </c>
      <c r="AM33" s="56">
        <f t="shared" si="15"/>
        <v>7.5804878048780486E-2</v>
      </c>
      <c r="AN33" s="56">
        <f t="shared" si="16"/>
        <v>3.678422449753508E-2</v>
      </c>
      <c r="AO33" s="56">
        <f t="shared" si="17"/>
        <v>8.9082969432314404E-3</v>
      </c>
      <c r="AP33" s="57">
        <f t="shared" si="18"/>
        <v>8.8662585686479167E-2</v>
      </c>
      <c r="AQ33" s="56">
        <f t="shared" si="19"/>
        <v>0.77609616881432153</v>
      </c>
      <c r="AR33" s="56">
        <f t="shared" si="20"/>
        <v>0.90146341463414636</v>
      </c>
      <c r="AS33" s="56">
        <f t="shared" si="21"/>
        <v>0.96321577550246495</v>
      </c>
      <c r="AT33" s="56">
        <f t="shared" si="22"/>
        <v>0.99109170305676852</v>
      </c>
      <c r="AU33" s="57">
        <f t="shared" si="23"/>
        <v>0.88882620102118537</v>
      </c>
      <c r="AV33" s="52">
        <v>8530</v>
      </c>
      <c r="AW33" s="52">
        <v>8820</v>
      </c>
      <c r="AX33" s="52">
        <v>7412</v>
      </c>
      <c r="AY33" s="52">
        <v>5567</v>
      </c>
      <c r="AZ33" s="58">
        <f t="shared" si="25"/>
        <v>30329</v>
      </c>
      <c r="BA33" s="52">
        <v>7504</v>
      </c>
      <c r="BB33" s="52">
        <v>7914</v>
      </c>
      <c r="BC33" s="52">
        <v>6982</v>
      </c>
      <c r="BD33" s="52">
        <v>5415</v>
      </c>
      <c r="BE33" s="59">
        <f t="shared" si="27"/>
        <v>27815</v>
      </c>
      <c r="BF33" s="52">
        <v>6352</v>
      </c>
      <c r="BG33" s="52">
        <v>7398</v>
      </c>
      <c r="BH33" s="52">
        <v>6694</v>
      </c>
      <c r="BI33" s="52">
        <v>5254</v>
      </c>
      <c r="BJ33" s="60">
        <f t="shared" si="29"/>
        <v>25698</v>
      </c>
      <c r="BK33" s="52">
        <v>4281</v>
      </c>
      <c r="BL33" s="52">
        <v>5618</v>
      </c>
      <c r="BM33" s="52">
        <v>5667</v>
      </c>
      <c r="BN33" s="52">
        <v>4734</v>
      </c>
      <c r="BO33" s="55">
        <f t="shared" si="31"/>
        <v>20300</v>
      </c>
      <c r="BP33" s="61"/>
      <c r="BQ33" s="62">
        <f t="shared" si="51"/>
        <v>0.73769782928305805</v>
      </c>
      <c r="BR33" s="62">
        <f t="shared" si="52"/>
        <v>0.86048780487804877</v>
      </c>
      <c r="BS33" s="62">
        <f t="shared" si="53"/>
        <v>0.93692327139426113</v>
      </c>
      <c r="BT33" s="62">
        <f t="shared" si="54"/>
        <v>0.97240174672489088</v>
      </c>
      <c r="BU33" s="63">
        <f t="shared" si="32"/>
        <v>0.85556715281108076</v>
      </c>
      <c r="BV33" s="62">
        <f t="shared" si="33"/>
        <v>0.64896653117703018</v>
      </c>
      <c r="BW33" s="62">
        <f t="shared" si="34"/>
        <v>0.77209756097560978</v>
      </c>
      <c r="BX33" s="62">
        <f t="shared" si="35"/>
        <v>0.88256857540133993</v>
      </c>
      <c r="BY33" s="62">
        <f t="shared" si="36"/>
        <v>0.94585152838427944</v>
      </c>
      <c r="BZ33" s="64">
        <f t="shared" si="37"/>
        <v>0.78464836807808402</v>
      </c>
      <c r="CA33" s="62">
        <f t="shared" si="38"/>
        <v>0.54933840698780589</v>
      </c>
      <c r="CB33" s="62">
        <f t="shared" si="39"/>
        <v>0.72175609756097558</v>
      </c>
      <c r="CC33" s="62">
        <f t="shared" si="40"/>
        <v>0.84616356971305773</v>
      </c>
      <c r="CD33" s="62">
        <f t="shared" si="41"/>
        <v>0.91772925764192137</v>
      </c>
      <c r="CE33" s="65">
        <f t="shared" si="42"/>
        <v>0.72492877091032182</v>
      </c>
      <c r="CF33" s="62">
        <f t="shared" si="43"/>
        <v>0.37023263858860156</v>
      </c>
      <c r="CG33" s="62">
        <f t="shared" si="44"/>
        <v>0.5480975609756098</v>
      </c>
      <c r="CH33" s="62">
        <f t="shared" si="45"/>
        <v>0.71634433067880166</v>
      </c>
      <c r="CI33" s="62">
        <f t="shared" si="46"/>
        <v>0.82689956331877734</v>
      </c>
      <c r="CJ33" s="66">
        <f t="shared" si="47"/>
        <v>0.57265367147169177</v>
      </c>
      <c r="CK33" s="62">
        <f t="shared" si="77"/>
        <v>0.57655885150912389</v>
      </c>
      <c r="CL33" s="62">
        <f t="shared" si="77"/>
        <v>0.72560975609756106</v>
      </c>
      <c r="CM33" s="62">
        <f t="shared" si="77"/>
        <v>0.84549993679686508</v>
      </c>
      <c r="CN33" s="62">
        <f t="shared" si="77"/>
        <v>0.91572052401746729</v>
      </c>
      <c r="CO33" s="67">
        <f t="shared" si="49"/>
        <v>0.73444949081779465</v>
      </c>
      <c r="CP33" s="48"/>
    </row>
    <row r="34" spans="1:94" ht="30.75" customHeight="1" x14ac:dyDescent="0.3">
      <c r="A34" s="49">
        <v>28</v>
      </c>
      <c r="B34" s="50" t="s">
        <v>64</v>
      </c>
      <c r="C34" s="50" t="s">
        <v>69</v>
      </c>
      <c r="D34" s="85">
        <v>46143</v>
      </c>
      <c r="E34" s="52">
        <v>256</v>
      </c>
      <c r="F34" s="52">
        <v>246</v>
      </c>
      <c r="G34" s="53">
        <f t="shared" si="1"/>
        <v>0.9609375</v>
      </c>
      <c r="H34" s="52">
        <v>9672</v>
      </c>
      <c r="I34" s="52">
        <v>7925</v>
      </c>
      <c r="J34" s="52">
        <v>6241</v>
      </c>
      <c r="K34" s="52">
        <v>4106</v>
      </c>
      <c r="L34" s="54">
        <f t="shared" si="3"/>
        <v>27944</v>
      </c>
      <c r="M34" s="52">
        <v>9607</v>
      </c>
      <c r="N34" s="52">
        <v>7898</v>
      </c>
      <c r="O34" s="52">
        <v>6214</v>
      </c>
      <c r="P34" s="52">
        <v>4071</v>
      </c>
      <c r="Q34" s="54">
        <f t="shared" si="5"/>
        <v>27790</v>
      </c>
      <c r="R34" s="52">
        <v>43</v>
      </c>
      <c r="S34" s="52">
        <v>0</v>
      </c>
      <c r="T34" s="52">
        <v>0</v>
      </c>
      <c r="U34" s="52">
        <v>0</v>
      </c>
      <c r="V34" s="55">
        <f t="shared" si="7"/>
        <v>43</v>
      </c>
      <c r="W34" s="52">
        <v>95</v>
      </c>
      <c r="X34" s="52">
        <v>5</v>
      </c>
      <c r="Y34" s="52">
        <v>0</v>
      </c>
      <c r="Z34" s="52">
        <v>0</v>
      </c>
      <c r="AA34" s="55">
        <f t="shared" si="9"/>
        <v>100</v>
      </c>
      <c r="AB34" s="52">
        <v>735</v>
      </c>
      <c r="AC34" s="52">
        <v>255</v>
      </c>
      <c r="AD34" s="52">
        <v>25</v>
      </c>
      <c r="AE34" s="52">
        <v>0</v>
      </c>
      <c r="AF34" s="55">
        <f t="shared" si="11"/>
        <v>1015</v>
      </c>
      <c r="AG34" s="52">
        <v>8734</v>
      </c>
      <c r="AH34" s="52">
        <v>7638</v>
      </c>
      <c r="AI34" s="52">
        <v>6189</v>
      </c>
      <c r="AJ34" s="52">
        <v>4068</v>
      </c>
      <c r="AK34" s="55">
        <f t="shared" si="13"/>
        <v>26629</v>
      </c>
      <c r="AL34" s="56">
        <f t="shared" si="14"/>
        <v>7.6506713854481101E-2</v>
      </c>
      <c r="AM34" s="56">
        <f t="shared" si="15"/>
        <v>3.2286654849328945E-2</v>
      </c>
      <c r="AN34" s="56">
        <f t="shared" si="16"/>
        <v>4.0231734792404248E-3</v>
      </c>
      <c r="AO34" s="56">
        <f t="shared" si="17"/>
        <v>0</v>
      </c>
      <c r="AP34" s="57">
        <f t="shared" si="18"/>
        <v>3.6523929471032744E-2</v>
      </c>
      <c r="AQ34" s="56">
        <f t="shared" si="19"/>
        <v>0.90912876027896328</v>
      </c>
      <c r="AR34" s="56">
        <f t="shared" si="20"/>
        <v>0.96708027348695869</v>
      </c>
      <c r="AS34" s="56">
        <f t="shared" si="21"/>
        <v>0.99597682652075958</v>
      </c>
      <c r="AT34" s="56">
        <f t="shared" si="22"/>
        <v>0.99926308032424471</v>
      </c>
      <c r="AU34" s="57">
        <f t="shared" si="23"/>
        <v>0.95822238215185318</v>
      </c>
      <c r="AV34" s="52">
        <v>8234</v>
      </c>
      <c r="AW34" s="52">
        <v>7281</v>
      </c>
      <c r="AX34" s="52">
        <v>5994</v>
      </c>
      <c r="AY34" s="52">
        <v>4020</v>
      </c>
      <c r="AZ34" s="58">
        <f t="shared" si="25"/>
        <v>25529</v>
      </c>
      <c r="BA34" s="52">
        <v>7762</v>
      </c>
      <c r="BB34" s="52">
        <v>6960</v>
      </c>
      <c r="BC34" s="52">
        <v>5920</v>
      </c>
      <c r="BD34" s="52">
        <v>4004</v>
      </c>
      <c r="BE34" s="59">
        <f t="shared" si="27"/>
        <v>24646</v>
      </c>
      <c r="BF34" s="52">
        <v>6451</v>
      </c>
      <c r="BG34" s="52">
        <v>6134</v>
      </c>
      <c r="BH34" s="52">
        <v>5397</v>
      </c>
      <c r="BI34" s="52">
        <v>3856</v>
      </c>
      <c r="BJ34" s="60">
        <f t="shared" si="29"/>
        <v>21838</v>
      </c>
      <c r="BK34" s="52">
        <v>5203</v>
      </c>
      <c r="BL34" s="52">
        <v>5458</v>
      </c>
      <c r="BM34" s="52">
        <v>5031</v>
      </c>
      <c r="BN34" s="52">
        <v>3655</v>
      </c>
      <c r="BO34" s="55">
        <f t="shared" si="31"/>
        <v>19347</v>
      </c>
      <c r="BP34" s="61"/>
      <c r="BQ34" s="62">
        <f t="shared" si="51"/>
        <v>0.85708337670448631</v>
      </c>
      <c r="BR34" s="62">
        <f t="shared" si="52"/>
        <v>0.92187895669789821</v>
      </c>
      <c r="BS34" s="62">
        <f t="shared" si="53"/>
        <v>0.96459607338268427</v>
      </c>
      <c r="BT34" s="62">
        <f t="shared" si="54"/>
        <v>0.98747236551215922</v>
      </c>
      <c r="BU34" s="63">
        <f t="shared" si="32"/>
        <v>0.91863979848866495</v>
      </c>
      <c r="BV34" s="62">
        <f t="shared" si="33"/>
        <v>0.80795253461018013</v>
      </c>
      <c r="BW34" s="62">
        <f t="shared" si="34"/>
        <v>0.88123575588756642</v>
      </c>
      <c r="BX34" s="62">
        <f t="shared" si="35"/>
        <v>0.9526874798841326</v>
      </c>
      <c r="BY34" s="62">
        <f t="shared" si="36"/>
        <v>0.98354212724146406</v>
      </c>
      <c r="BZ34" s="64">
        <f t="shared" si="37"/>
        <v>0.88686577905721486</v>
      </c>
      <c r="CA34" s="62">
        <f t="shared" si="38"/>
        <v>0.67148953887790153</v>
      </c>
      <c r="CB34" s="62">
        <f t="shared" si="39"/>
        <v>0.77665231704228921</v>
      </c>
      <c r="CC34" s="62">
        <f t="shared" si="40"/>
        <v>0.86852269069842292</v>
      </c>
      <c r="CD34" s="62">
        <f t="shared" si="41"/>
        <v>0.9471874232375338</v>
      </c>
      <c r="CE34" s="65">
        <f t="shared" si="42"/>
        <v>0.78582223821518526</v>
      </c>
      <c r="CF34" s="62">
        <f t="shared" si="43"/>
        <v>0.54158426147600702</v>
      </c>
      <c r="CG34" s="62">
        <f t="shared" si="44"/>
        <v>0.69106102810838188</v>
      </c>
      <c r="CH34" s="62">
        <f t="shared" si="45"/>
        <v>0.80962343096234313</v>
      </c>
      <c r="CI34" s="62">
        <f t="shared" si="46"/>
        <v>0.89781380496192587</v>
      </c>
      <c r="CJ34" s="66">
        <f t="shared" si="47"/>
        <v>0.69618567830154732</v>
      </c>
      <c r="CK34" s="62">
        <f t="shared" si="77"/>
        <v>0.71952742791714375</v>
      </c>
      <c r="CL34" s="62">
        <f t="shared" si="77"/>
        <v>0.81770701443403393</v>
      </c>
      <c r="CM34" s="62">
        <f t="shared" si="77"/>
        <v>0.89885741873189584</v>
      </c>
      <c r="CN34" s="62">
        <f t="shared" si="77"/>
        <v>0.95400393023827068</v>
      </c>
      <c r="CO34" s="67">
        <f t="shared" si="49"/>
        <v>0.82187837351565318</v>
      </c>
      <c r="CP34" s="48"/>
    </row>
    <row r="35" spans="1:94" ht="30.75" customHeight="1" x14ac:dyDescent="0.3">
      <c r="A35" s="49">
        <v>29</v>
      </c>
      <c r="B35" s="50" t="s">
        <v>64</v>
      </c>
      <c r="C35" s="50" t="s">
        <v>70</v>
      </c>
      <c r="D35" s="85">
        <v>46143</v>
      </c>
      <c r="E35" s="52">
        <v>171</v>
      </c>
      <c r="F35" s="52">
        <v>169</v>
      </c>
      <c r="G35" s="53">
        <f t="shared" si="1"/>
        <v>0.98830409356725146</v>
      </c>
      <c r="H35" s="52">
        <v>5583</v>
      </c>
      <c r="I35" s="52">
        <v>4992</v>
      </c>
      <c r="J35" s="52">
        <v>4273</v>
      </c>
      <c r="K35" s="52">
        <v>3131</v>
      </c>
      <c r="L35" s="54">
        <f t="shared" si="3"/>
        <v>17979</v>
      </c>
      <c r="M35" s="52">
        <v>5365</v>
      </c>
      <c r="N35" s="52">
        <v>4793</v>
      </c>
      <c r="O35" s="52">
        <v>4020</v>
      </c>
      <c r="P35" s="52">
        <v>2894</v>
      </c>
      <c r="Q35" s="54">
        <f t="shared" si="5"/>
        <v>17072</v>
      </c>
      <c r="R35" s="52">
        <v>27</v>
      </c>
      <c r="S35" s="52">
        <v>2</v>
      </c>
      <c r="T35" s="52">
        <v>0</v>
      </c>
      <c r="U35" s="52">
        <v>0</v>
      </c>
      <c r="V35" s="55">
        <f t="shared" si="7"/>
        <v>29</v>
      </c>
      <c r="W35" s="52">
        <v>144</v>
      </c>
      <c r="X35" s="52">
        <v>22</v>
      </c>
      <c r="Y35" s="52">
        <v>7</v>
      </c>
      <c r="Z35" s="52">
        <v>0</v>
      </c>
      <c r="AA35" s="55">
        <f t="shared" si="9"/>
        <v>173</v>
      </c>
      <c r="AB35" s="52">
        <v>952</v>
      </c>
      <c r="AC35" s="52">
        <v>276</v>
      </c>
      <c r="AD35" s="52">
        <v>102</v>
      </c>
      <c r="AE35" s="52">
        <v>19</v>
      </c>
      <c r="AF35" s="55">
        <f t="shared" si="11"/>
        <v>1349</v>
      </c>
      <c r="AG35" s="52">
        <v>4242</v>
      </c>
      <c r="AH35" s="52">
        <v>4493</v>
      </c>
      <c r="AI35" s="52">
        <v>3911</v>
      </c>
      <c r="AJ35" s="52">
        <v>2875</v>
      </c>
      <c r="AK35" s="55">
        <f t="shared" si="13"/>
        <v>15521</v>
      </c>
      <c r="AL35" s="56">
        <f t="shared" si="14"/>
        <v>0.17744641192917054</v>
      </c>
      <c r="AM35" s="56">
        <f t="shared" si="15"/>
        <v>5.7583976632589191E-2</v>
      </c>
      <c r="AN35" s="56">
        <f t="shared" si="16"/>
        <v>2.5373134328358207E-2</v>
      </c>
      <c r="AO35" s="56">
        <f t="shared" si="17"/>
        <v>6.5653075328265375E-3</v>
      </c>
      <c r="AP35" s="57">
        <f t="shared" si="18"/>
        <v>7.9018275538894095E-2</v>
      </c>
      <c r="AQ35" s="56">
        <f t="shared" si="19"/>
        <v>0.79068033550792172</v>
      </c>
      <c r="AR35" s="56">
        <f t="shared" si="20"/>
        <v>0.9374087210515335</v>
      </c>
      <c r="AS35" s="56">
        <f t="shared" si="21"/>
        <v>0.97288557213930349</v>
      </c>
      <c r="AT35" s="56">
        <f t="shared" si="22"/>
        <v>0.99343469246717342</v>
      </c>
      <c r="AU35" s="57">
        <f t="shared" si="23"/>
        <v>0.90914948453608246</v>
      </c>
      <c r="AV35" s="52">
        <v>4313</v>
      </c>
      <c r="AW35" s="52">
        <v>4428</v>
      </c>
      <c r="AX35" s="52">
        <v>3885</v>
      </c>
      <c r="AY35" s="52">
        <v>2859</v>
      </c>
      <c r="AZ35" s="58">
        <f t="shared" si="25"/>
        <v>15485</v>
      </c>
      <c r="BA35" s="52">
        <v>3914</v>
      </c>
      <c r="BB35" s="52">
        <v>4141</v>
      </c>
      <c r="BC35" s="52">
        <v>3715</v>
      </c>
      <c r="BD35" s="52">
        <v>2825</v>
      </c>
      <c r="BE35" s="59">
        <f t="shared" si="27"/>
        <v>14595</v>
      </c>
      <c r="BF35" s="52">
        <v>3052</v>
      </c>
      <c r="BG35" s="52">
        <v>3638</v>
      </c>
      <c r="BH35" s="52">
        <v>3518</v>
      </c>
      <c r="BI35" s="52">
        <v>2742</v>
      </c>
      <c r="BJ35" s="60">
        <f t="shared" si="29"/>
        <v>12950</v>
      </c>
      <c r="BK35" s="52">
        <v>2005</v>
      </c>
      <c r="BL35" s="52">
        <v>2960</v>
      </c>
      <c r="BM35" s="52">
        <v>3036</v>
      </c>
      <c r="BN35" s="52">
        <v>2515</v>
      </c>
      <c r="BO35" s="55">
        <f t="shared" si="31"/>
        <v>10516</v>
      </c>
      <c r="BP35" s="61"/>
      <c r="BQ35" s="62">
        <f t="shared" si="51"/>
        <v>0.80391425908667291</v>
      </c>
      <c r="BR35" s="62">
        <f t="shared" si="52"/>
        <v>0.92384727727936578</v>
      </c>
      <c r="BS35" s="62">
        <f t="shared" si="53"/>
        <v>0.96641791044776115</v>
      </c>
      <c r="BT35" s="62">
        <f t="shared" si="54"/>
        <v>0.98790601243953002</v>
      </c>
      <c r="BU35" s="63">
        <f t="shared" si="32"/>
        <v>0.90704076850984072</v>
      </c>
      <c r="BV35" s="62">
        <f t="shared" si="33"/>
        <v>0.72954333643988811</v>
      </c>
      <c r="BW35" s="62">
        <f t="shared" si="34"/>
        <v>0.8639682870853328</v>
      </c>
      <c r="BX35" s="62">
        <f t="shared" si="35"/>
        <v>0.92412935323383083</v>
      </c>
      <c r="BY35" s="62">
        <f t="shared" si="36"/>
        <v>0.97615756738078785</v>
      </c>
      <c r="BZ35" s="64">
        <f t="shared" si="37"/>
        <v>0.85490862230552955</v>
      </c>
      <c r="CA35" s="62">
        <f t="shared" si="38"/>
        <v>0.56887232059645854</v>
      </c>
      <c r="CB35" s="62">
        <f t="shared" si="39"/>
        <v>0.75902357604840387</v>
      </c>
      <c r="CC35" s="62">
        <f t="shared" si="40"/>
        <v>0.87512437810945276</v>
      </c>
      <c r="CD35" s="62">
        <f t="shared" si="41"/>
        <v>0.94747753973738769</v>
      </c>
      <c r="CE35" s="65">
        <f t="shared" si="42"/>
        <v>0.75855201499531399</v>
      </c>
      <c r="CF35" s="62">
        <f t="shared" si="43"/>
        <v>0.37371854613233924</v>
      </c>
      <c r="CG35" s="62">
        <f t="shared" si="44"/>
        <v>0.61756728562486962</v>
      </c>
      <c r="CH35" s="62">
        <f t="shared" si="45"/>
        <v>0.75522388059701495</v>
      </c>
      <c r="CI35" s="62">
        <f t="shared" si="46"/>
        <v>0.86903939184519696</v>
      </c>
      <c r="CJ35" s="66">
        <f t="shared" si="47"/>
        <v>0.615979381443299</v>
      </c>
      <c r="CK35" s="62">
        <f t="shared" ref="CK35:CN50" si="100">IFERROR((BQ35+BV35+CA35+CF35)/4,"")</f>
        <v>0.61901211556383962</v>
      </c>
      <c r="CL35" s="62">
        <f t="shared" si="100"/>
        <v>0.79110160650949313</v>
      </c>
      <c r="CM35" s="62">
        <f t="shared" si="100"/>
        <v>0.88022388059701484</v>
      </c>
      <c r="CN35" s="62">
        <f t="shared" si="100"/>
        <v>0.94514512785072569</v>
      </c>
      <c r="CO35" s="67">
        <f t="shared" si="49"/>
        <v>0.78412019681349587</v>
      </c>
      <c r="CP35" s="48"/>
    </row>
    <row r="36" spans="1:94" ht="30.75" customHeight="1" x14ac:dyDescent="0.3">
      <c r="A36" s="49">
        <v>30</v>
      </c>
      <c r="B36" s="50" t="s">
        <v>64</v>
      </c>
      <c r="C36" s="50" t="s">
        <v>71</v>
      </c>
      <c r="D36" s="85">
        <v>46143</v>
      </c>
      <c r="E36" s="52">
        <v>161</v>
      </c>
      <c r="F36" s="52">
        <v>161</v>
      </c>
      <c r="G36" s="53">
        <f t="shared" si="1"/>
        <v>1</v>
      </c>
      <c r="H36" s="52">
        <v>6674</v>
      </c>
      <c r="I36" s="52">
        <v>6301</v>
      </c>
      <c r="J36" s="52">
        <v>4486</v>
      </c>
      <c r="K36" s="52">
        <v>2911</v>
      </c>
      <c r="L36" s="54">
        <f t="shared" si="3"/>
        <v>20372</v>
      </c>
      <c r="M36" s="52">
        <v>6395</v>
      </c>
      <c r="N36" s="52">
        <v>5978</v>
      </c>
      <c r="O36" s="52">
        <v>4277</v>
      </c>
      <c r="P36" s="52">
        <v>2826</v>
      </c>
      <c r="Q36" s="54">
        <f t="shared" si="5"/>
        <v>19476</v>
      </c>
      <c r="R36" s="52">
        <v>67</v>
      </c>
      <c r="S36" s="52">
        <v>4</v>
      </c>
      <c r="T36" s="52">
        <v>0</v>
      </c>
      <c r="U36" s="52">
        <v>0</v>
      </c>
      <c r="V36" s="55">
        <f t="shared" si="7"/>
        <v>71</v>
      </c>
      <c r="W36" s="52">
        <v>252</v>
      </c>
      <c r="X36" s="52">
        <v>90</v>
      </c>
      <c r="Y36" s="52">
        <v>1</v>
      </c>
      <c r="Z36" s="52">
        <v>0</v>
      </c>
      <c r="AA36" s="55">
        <f t="shared" si="9"/>
        <v>343</v>
      </c>
      <c r="AB36" s="52">
        <v>1119</v>
      </c>
      <c r="AC36" s="52">
        <v>635</v>
      </c>
      <c r="AD36" s="52">
        <v>120</v>
      </c>
      <c r="AE36" s="52">
        <v>21</v>
      </c>
      <c r="AF36" s="55">
        <f t="shared" si="11"/>
        <v>1895</v>
      </c>
      <c r="AG36" s="52">
        <v>4957</v>
      </c>
      <c r="AH36" s="52">
        <v>5249</v>
      </c>
      <c r="AI36" s="52">
        <v>4156</v>
      </c>
      <c r="AJ36" s="52">
        <v>2804</v>
      </c>
      <c r="AK36" s="55">
        <f t="shared" si="13"/>
        <v>17166</v>
      </c>
      <c r="AL36" s="56">
        <f t="shared" si="14"/>
        <v>0.17498045347928068</v>
      </c>
      <c r="AM36" s="56">
        <f t="shared" si="15"/>
        <v>0.10622281699565073</v>
      </c>
      <c r="AN36" s="56">
        <f t="shared" si="16"/>
        <v>2.8057049333645077E-2</v>
      </c>
      <c r="AO36" s="56">
        <f t="shared" si="17"/>
        <v>7.4309978768577496E-3</v>
      </c>
      <c r="AP36" s="57">
        <f t="shared" si="18"/>
        <v>9.7299240090367625E-2</v>
      </c>
      <c r="AQ36" s="56">
        <f t="shared" si="19"/>
        <v>0.77513682564503517</v>
      </c>
      <c r="AR36" s="56">
        <f t="shared" si="20"/>
        <v>0.87805286048845765</v>
      </c>
      <c r="AS36" s="56">
        <f t="shared" si="21"/>
        <v>0.97170914192190783</v>
      </c>
      <c r="AT36" s="56">
        <f t="shared" si="22"/>
        <v>0.99221514508138708</v>
      </c>
      <c r="AU36" s="57">
        <f t="shared" si="23"/>
        <v>0.88139248305606899</v>
      </c>
      <c r="AV36" s="52">
        <v>5323</v>
      </c>
      <c r="AW36" s="52">
        <v>5499</v>
      </c>
      <c r="AX36" s="52">
        <v>4157</v>
      </c>
      <c r="AY36" s="52">
        <v>2797</v>
      </c>
      <c r="AZ36" s="58">
        <f t="shared" si="25"/>
        <v>17776</v>
      </c>
      <c r="BA36" s="52">
        <v>4922</v>
      </c>
      <c r="BB36" s="52">
        <v>5282</v>
      </c>
      <c r="BC36" s="52">
        <v>4073</v>
      </c>
      <c r="BD36" s="52">
        <v>2763</v>
      </c>
      <c r="BE36" s="59">
        <f t="shared" si="27"/>
        <v>17040</v>
      </c>
      <c r="BF36" s="52">
        <v>3901</v>
      </c>
      <c r="BG36" s="52">
        <v>4516</v>
      </c>
      <c r="BH36" s="52">
        <v>3777</v>
      </c>
      <c r="BI36" s="52">
        <v>2672</v>
      </c>
      <c r="BJ36" s="60">
        <f t="shared" si="29"/>
        <v>14866</v>
      </c>
      <c r="BK36" s="52">
        <v>2946</v>
      </c>
      <c r="BL36" s="52">
        <v>3646</v>
      </c>
      <c r="BM36" s="52">
        <v>3342</v>
      </c>
      <c r="BN36" s="52">
        <v>2473</v>
      </c>
      <c r="BO36" s="55">
        <f t="shared" si="31"/>
        <v>12407</v>
      </c>
      <c r="BP36" s="61"/>
      <c r="BQ36" s="62">
        <f t="shared" si="51"/>
        <v>0.83236903831118059</v>
      </c>
      <c r="BR36" s="62">
        <f t="shared" si="52"/>
        <v>0.91987286717965877</v>
      </c>
      <c r="BS36" s="62">
        <f t="shared" si="53"/>
        <v>0.97194295066635494</v>
      </c>
      <c r="BT36" s="62">
        <f t="shared" si="54"/>
        <v>0.98973814578910124</v>
      </c>
      <c r="BU36" s="63">
        <f t="shared" si="32"/>
        <v>0.91271308276853569</v>
      </c>
      <c r="BV36" s="62">
        <f t="shared" si="33"/>
        <v>0.76966379984362787</v>
      </c>
      <c r="BW36" s="62">
        <f t="shared" si="34"/>
        <v>0.8835731013716962</v>
      </c>
      <c r="BX36" s="62">
        <f t="shared" si="35"/>
        <v>0.95230301613280333</v>
      </c>
      <c r="BY36" s="62">
        <f t="shared" si="36"/>
        <v>0.97770700636942676</v>
      </c>
      <c r="BZ36" s="64">
        <f t="shared" si="37"/>
        <v>0.8749229821318546</v>
      </c>
      <c r="CA36" s="62">
        <f t="shared" si="38"/>
        <v>0.61000781860828768</v>
      </c>
      <c r="CB36" s="62">
        <f t="shared" si="39"/>
        <v>0.75543660086985609</v>
      </c>
      <c r="CC36" s="62">
        <f t="shared" si="40"/>
        <v>0.88309562777647888</v>
      </c>
      <c r="CD36" s="62">
        <f t="shared" si="41"/>
        <v>0.94550601556970981</v>
      </c>
      <c r="CE36" s="65">
        <f t="shared" si="42"/>
        <v>0.76329841856644076</v>
      </c>
      <c r="CF36" s="62">
        <f t="shared" si="43"/>
        <v>0.46067240031274431</v>
      </c>
      <c r="CG36" s="62">
        <f t="shared" si="44"/>
        <v>0.60990297758447642</v>
      </c>
      <c r="CH36" s="62">
        <f t="shared" si="45"/>
        <v>0.78138882394201548</v>
      </c>
      <c r="CI36" s="62">
        <f t="shared" si="46"/>
        <v>0.87508846426043874</v>
      </c>
      <c r="CJ36" s="66">
        <f t="shared" si="47"/>
        <v>0.63704046005339909</v>
      </c>
      <c r="CK36" s="62">
        <f t="shared" si="100"/>
        <v>0.66817826426896021</v>
      </c>
      <c r="CL36" s="62">
        <f t="shared" si="100"/>
        <v>0.7921963867514219</v>
      </c>
      <c r="CM36" s="62">
        <f t="shared" si="100"/>
        <v>0.89718260462941313</v>
      </c>
      <c r="CN36" s="62">
        <f t="shared" si="100"/>
        <v>0.94700990799716922</v>
      </c>
      <c r="CO36" s="67">
        <f t="shared" si="49"/>
        <v>0.79699373588005751</v>
      </c>
      <c r="CP36" s="48"/>
    </row>
    <row r="37" spans="1:94" ht="30.75" customHeight="1" x14ac:dyDescent="0.3">
      <c r="A37" s="36" t="s">
        <v>72</v>
      </c>
      <c r="B37" s="37"/>
      <c r="C37" s="38"/>
      <c r="D37" s="39"/>
      <c r="E37" s="40">
        <f t="shared" ref="E37:F37" si="101">SUM(E38:E45)</f>
        <v>1732</v>
      </c>
      <c r="F37" s="40">
        <f t="shared" si="101"/>
        <v>1677</v>
      </c>
      <c r="G37" s="41">
        <f t="shared" si="1"/>
        <v>0.96824480369515009</v>
      </c>
      <c r="H37" s="40">
        <f t="shared" ref="H37:K37" si="102">SUM(H38:H45)</f>
        <v>53310</v>
      </c>
      <c r="I37" s="40">
        <f t="shared" si="102"/>
        <v>51991</v>
      </c>
      <c r="J37" s="40">
        <f t="shared" si="102"/>
        <v>44111</v>
      </c>
      <c r="K37" s="40">
        <f t="shared" si="102"/>
        <v>34425</v>
      </c>
      <c r="L37" s="42">
        <f t="shared" si="3"/>
        <v>183837</v>
      </c>
      <c r="M37" s="40">
        <f t="shared" ref="M37:P37" si="103">SUM(M38:M45)</f>
        <v>50919</v>
      </c>
      <c r="N37" s="40">
        <f t="shared" si="103"/>
        <v>50654</v>
      </c>
      <c r="O37" s="40">
        <f t="shared" si="103"/>
        <v>43036</v>
      </c>
      <c r="P37" s="40">
        <f t="shared" si="103"/>
        <v>33381</v>
      </c>
      <c r="Q37" s="42">
        <f t="shared" si="5"/>
        <v>177990</v>
      </c>
      <c r="R37" s="40">
        <f t="shared" ref="R37:U37" si="104">SUM(R38:R45)</f>
        <v>297</v>
      </c>
      <c r="S37" s="40">
        <f t="shared" si="104"/>
        <v>57</v>
      </c>
      <c r="T37" s="40">
        <f t="shared" si="104"/>
        <v>9</v>
      </c>
      <c r="U37" s="40">
        <f t="shared" si="104"/>
        <v>2</v>
      </c>
      <c r="V37" s="43">
        <f t="shared" si="7"/>
        <v>365</v>
      </c>
      <c r="W37" s="40">
        <f t="shared" ref="W37:Z37" si="105">SUM(W38:W45)</f>
        <v>1776</v>
      </c>
      <c r="X37" s="40">
        <f t="shared" si="105"/>
        <v>425</v>
      </c>
      <c r="Y37" s="40">
        <f t="shared" si="105"/>
        <v>63</v>
      </c>
      <c r="Z37" s="40">
        <f t="shared" si="105"/>
        <v>8</v>
      </c>
      <c r="AA37" s="43">
        <f t="shared" si="9"/>
        <v>2272</v>
      </c>
      <c r="AB37" s="40">
        <f t="shared" ref="AB37:AE37" si="106">SUM(AB38:AB45)</f>
        <v>11859</v>
      </c>
      <c r="AC37" s="40">
        <f t="shared" si="106"/>
        <v>6259</v>
      </c>
      <c r="AD37" s="40">
        <f t="shared" si="106"/>
        <v>1746</v>
      </c>
      <c r="AE37" s="40">
        <f t="shared" si="106"/>
        <v>353</v>
      </c>
      <c r="AF37" s="43">
        <f t="shared" si="11"/>
        <v>20217</v>
      </c>
      <c r="AG37" s="40">
        <f t="shared" ref="AG37:AJ37" si="107">SUM(AG38:AG45)</f>
        <v>36987</v>
      </c>
      <c r="AH37" s="40">
        <f t="shared" si="107"/>
        <v>43913</v>
      </c>
      <c r="AI37" s="40">
        <f t="shared" si="107"/>
        <v>41218</v>
      </c>
      <c r="AJ37" s="40">
        <f t="shared" si="107"/>
        <v>33018</v>
      </c>
      <c r="AK37" s="43">
        <f t="shared" si="13"/>
        <v>155136</v>
      </c>
      <c r="AL37" s="44">
        <f t="shared" si="14"/>
        <v>0.23289931066988748</v>
      </c>
      <c r="AM37" s="44">
        <f t="shared" si="15"/>
        <v>0.12356378568326293</v>
      </c>
      <c r="AN37" s="44">
        <f t="shared" si="16"/>
        <v>4.0570685007900363E-2</v>
      </c>
      <c r="AO37" s="44">
        <f t="shared" si="17"/>
        <v>1.0574877924567868E-2</v>
      </c>
      <c r="AP37" s="44">
        <f t="shared" si="18"/>
        <v>0.113585032867015</v>
      </c>
      <c r="AQ37" s="44">
        <f t="shared" si="19"/>
        <v>0.72638897071819952</v>
      </c>
      <c r="AR37" s="44">
        <f t="shared" si="20"/>
        <v>0.86692067753780555</v>
      </c>
      <c r="AS37" s="44">
        <f t="shared" si="21"/>
        <v>0.95775629705362952</v>
      </c>
      <c r="AT37" s="44">
        <f t="shared" si="22"/>
        <v>0.98912555046283812</v>
      </c>
      <c r="AU37" s="44">
        <f t="shared" si="23"/>
        <v>0.87159952806337437</v>
      </c>
      <c r="AV37" s="40">
        <f t="shared" ref="AV37:AY37" si="108">SUM(AV38:AV45)</f>
        <v>39509</v>
      </c>
      <c r="AW37" s="40">
        <f t="shared" si="108"/>
        <v>44837</v>
      </c>
      <c r="AX37" s="40">
        <f t="shared" si="108"/>
        <v>40511</v>
      </c>
      <c r="AY37" s="40">
        <f t="shared" si="108"/>
        <v>32298</v>
      </c>
      <c r="AZ37" s="43">
        <f t="shared" si="25"/>
        <v>157155</v>
      </c>
      <c r="BA37" s="40">
        <f t="shared" ref="BA37:BD37" si="109">SUM(BA38:BA45)</f>
        <v>34104</v>
      </c>
      <c r="BB37" s="40">
        <f t="shared" si="109"/>
        <v>40559</v>
      </c>
      <c r="BC37" s="40">
        <f t="shared" si="109"/>
        <v>38562</v>
      </c>
      <c r="BD37" s="40">
        <f t="shared" si="109"/>
        <v>31585</v>
      </c>
      <c r="BE37" s="43">
        <f t="shared" si="27"/>
        <v>144810</v>
      </c>
      <c r="BF37" s="40">
        <f t="shared" ref="BF37:BI37" si="110">SUM(BF38:BF45)</f>
        <v>24080</v>
      </c>
      <c r="BG37" s="40">
        <f t="shared" si="110"/>
        <v>35384</v>
      </c>
      <c r="BH37" s="40">
        <f t="shared" si="110"/>
        <v>35915</v>
      </c>
      <c r="BI37" s="40">
        <f t="shared" si="110"/>
        <v>30482</v>
      </c>
      <c r="BJ37" s="43">
        <f t="shared" si="29"/>
        <v>125861</v>
      </c>
      <c r="BK37" s="40">
        <f t="shared" ref="BK37:BN37" si="111">SUM(BK38:BK45)</f>
        <v>15306</v>
      </c>
      <c r="BL37" s="40">
        <f t="shared" si="111"/>
        <v>26674</v>
      </c>
      <c r="BM37" s="40">
        <f t="shared" si="111"/>
        <v>30876</v>
      </c>
      <c r="BN37" s="40">
        <f t="shared" si="111"/>
        <v>28580</v>
      </c>
      <c r="BO37" s="43">
        <f t="shared" si="31"/>
        <v>101436</v>
      </c>
      <c r="BP37" s="45"/>
      <c r="BQ37" s="46">
        <f t="shared" si="51"/>
        <v>0.77591861584084532</v>
      </c>
      <c r="BR37" s="46">
        <f t="shared" si="52"/>
        <v>0.88516207999368268</v>
      </c>
      <c r="BS37" s="46">
        <f t="shared" si="53"/>
        <v>0.94132819035226323</v>
      </c>
      <c r="BT37" s="46">
        <f t="shared" si="54"/>
        <v>0.96755639435607077</v>
      </c>
      <c r="BU37" s="46">
        <f t="shared" si="32"/>
        <v>0.882942861958537</v>
      </c>
      <c r="BV37" s="46">
        <f t="shared" si="33"/>
        <v>0.66976963412478641</v>
      </c>
      <c r="BW37" s="46">
        <f t="shared" si="34"/>
        <v>0.80070675563627747</v>
      </c>
      <c r="BX37" s="46">
        <f t="shared" si="35"/>
        <v>0.89604052421228741</v>
      </c>
      <c r="BY37" s="46">
        <f t="shared" si="36"/>
        <v>0.94619693837811925</v>
      </c>
      <c r="BZ37" s="47">
        <f t="shared" si="37"/>
        <v>0.813585032867015</v>
      </c>
      <c r="CA37" s="46">
        <f t="shared" si="38"/>
        <v>0.47290795184508727</v>
      </c>
      <c r="CB37" s="46">
        <f t="shared" si="39"/>
        <v>0.69854305681683582</v>
      </c>
      <c r="CC37" s="46">
        <f t="shared" si="40"/>
        <v>0.83453387861325401</v>
      </c>
      <c r="CD37" s="46">
        <f t="shared" si="41"/>
        <v>0.91315418950900218</v>
      </c>
      <c r="CE37" s="47">
        <f t="shared" si="42"/>
        <v>0.70712399573009721</v>
      </c>
      <c r="CF37" s="46">
        <f t="shared" si="43"/>
        <v>0.30059506274671538</v>
      </c>
      <c r="CG37" s="46">
        <f t="shared" si="44"/>
        <v>0.52659217435937933</v>
      </c>
      <c r="CH37" s="46">
        <f t="shared" si="45"/>
        <v>0.71744585928060234</v>
      </c>
      <c r="CI37" s="46">
        <f t="shared" si="46"/>
        <v>0.85617566879362517</v>
      </c>
      <c r="CJ37" s="47">
        <f t="shared" si="47"/>
        <v>0.56989718523512556</v>
      </c>
      <c r="CK37" s="46">
        <f t="shared" si="100"/>
        <v>0.55479781613935863</v>
      </c>
      <c r="CL37" s="46">
        <f t="shared" si="100"/>
        <v>0.72775101670154374</v>
      </c>
      <c r="CM37" s="46">
        <f t="shared" si="100"/>
        <v>0.8473371131146018</v>
      </c>
      <c r="CN37" s="46">
        <f t="shared" si="100"/>
        <v>0.92077079775920434</v>
      </c>
      <c r="CO37" s="47">
        <f t="shared" si="49"/>
        <v>0.74338726894769369</v>
      </c>
      <c r="CP37" s="48"/>
    </row>
    <row r="38" spans="1:94" ht="30.75" customHeight="1" x14ac:dyDescent="0.3">
      <c r="A38" s="49">
        <v>31</v>
      </c>
      <c r="B38" s="50" t="s">
        <v>73</v>
      </c>
      <c r="C38" s="50" t="s">
        <v>74</v>
      </c>
      <c r="D38" s="85">
        <v>46143</v>
      </c>
      <c r="E38" s="52">
        <v>238</v>
      </c>
      <c r="F38" s="52">
        <v>227</v>
      </c>
      <c r="G38" s="53">
        <f t="shared" si="1"/>
        <v>0.95378151260504207</v>
      </c>
      <c r="H38" s="52">
        <v>6899</v>
      </c>
      <c r="I38" s="52">
        <v>6825</v>
      </c>
      <c r="J38" s="52">
        <v>5814</v>
      </c>
      <c r="K38" s="52">
        <v>4726</v>
      </c>
      <c r="L38" s="54">
        <f t="shared" si="3"/>
        <v>24264</v>
      </c>
      <c r="M38" s="52">
        <v>6702</v>
      </c>
      <c r="N38" s="52">
        <v>6681</v>
      </c>
      <c r="O38" s="52">
        <v>5710</v>
      </c>
      <c r="P38" s="52">
        <v>4451</v>
      </c>
      <c r="Q38" s="54">
        <f t="shared" si="5"/>
        <v>23544</v>
      </c>
      <c r="R38" s="52">
        <v>115</v>
      </c>
      <c r="S38" s="52">
        <v>11</v>
      </c>
      <c r="T38" s="52">
        <v>0</v>
      </c>
      <c r="U38" s="52">
        <v>0</v>
      </c>
      <c r="V38" s="55">
        <f t="shared" si="7"/>
        <v>126</v>
      </c>
      <c r="W38" s="52">
        <v>353</v>
      </c>
      <c r="X38" s="52">
        <v>83</v>
      </c>
      <c r="Y38" s="52">
        <v>11</v>
      </c>
      <c r="Z38" s="52">
        <v>0</v>
      </c>
      <c r="AA38" s="55">
        <f t="shared" si="9"/>
        <v>447</v>
      </c>
      <c r="AB38" s="52">
        <v>1773</v>
      </c>
      <c r="AC38" s="52">
        <v>938</v>
      </c>
      <c r="AD38" s="52">
        <v>329</v>
      </c>
      <c r="AE38" s="52">
        <v>57</v>
      </c>
      <c r="AF38" s="55">
        <f t="shared" si="11"/>
        <v>3097</v>
      </c>
      <c r="AG38" s="52">
        <v>4461</v>
      </c>
      <c r="AH38" s="52">
        <v>5649</v>
      </c>
      <c r="AI38" s="52">
        <v>5370</v>
      </c>
      <c r="AJ38" s="52">
        <v>4394</v>
      </c>
      <c r="AK38" s="55">
        <f t="shared" si="13"/>
        <v>19874</v>
      </c>
      <c r="AL38" s="56">
        <f t="shared" si="14"/>
        <v>0.26454789615040286</v>
      </c>
      <c r="AM38" s="56">
        <f t="shared" si="15"/>
        <v>0.14039814399042058</v>
      </c>
      <c r="AN38" s="56">
        <f t="shared" si="16"/>
        <v>5.7618213660245186E-2</v>
      </c>
      <c r="AO38" s="56">
        <f t="shared" si="17"/>
        <v>1.2806110986295215E-2</v>
      </c>
      <c r="AP38" s="57">
        <f t="shared" si="18"/>
        <v>0.1315409446143391</v>
      </c>
      <c r="AQ38" s="56">
        <f t="shared" si="19"/>
        <v>0.66562220232766334</v>
      </c>
      <c r="AR38" s="56">
        <f t="shared" si="20"/>
        <v>0.84553210597215989</v>
      </c>
      <c r="AS38" s="56">
        <f t="shared" si="21"/>
        <v>0.94045534150612964</v>
      </c>
      <c r="AT38" s="56">
        <f t="shared" si="22"/>
        <v>0.98719388901370475</v>
      </c>
      <c r="AU38" s="57">
        <f t="shared" si="23"/>
        <v>0.84412164458036021</v>
      </c>
      <c r="AV38" s="52">
        <v>4984</v>
      </c>
      <c r="AW38" s="52">
        <v>5964</v>
      </c>
      <c r="AX38" s="52">
        <v>5469</v>
      </c>
      <c r="AY38" s="52">
        <v>4378</v>
      </c>
      <c r="AZ38" s="58">
        <f t="shared" si="25"/>
        <v>20795</v>
      </c>
      <c r="BA38" s="52">
        <v>4498</v>
      </c>
      <c r="BB38" s="52">
        <v>5315</v>
      </c>
      <c r="BC38" s="52">
        <v>5200</v>
      </c>
      <c r="BD38" s="52">
        <v>4259</v>
      </c>
      <c r="BE38" s="59">
        <f t="shared" si="27"/>
        <v>19272</v>
      </c>
      <c r="BF38" s="52">
        <v>3166</v>
      </c>
      <c r="BG38" s="52">
        <v>4738</v>
      </c>
      <c r="BH38" s="52">
        <v>4847</v>
      </c>
      <c r="BI38" s="52">
        <v>4137</v>
      </c>
      <c r="BJ38" s="60">
        <f t="shared" si="29"/>
        <v>16888</v>
      </c>
      <c r="BK38" s="52">
        <v>2169</v>
      </c>
      <c r="BL38" s="52">
        <v>3684</v>
      </c>
      <c r="BM38" s="52">
        <v>4194</v>
      </c>
      <c r="BN38" s="52">
        <v>3892</v>
      </c>
      <c r="BO38" s="55">
        <f t="shared" si="31"/>
        <v>13939</v>
      </c>
      <c r="BP38" s="61"/>
      <c r="BQ38" s="62">
        <f t="shared" si="51"/>
        <v>0.74365860937033723</v>
      </c>
      <c r="BR38" s="62">
        <f t="shared" si="52"/>
        <v>0.89268073641670409</v>
      </c>
      <c r="BS38" s="62">
        <f t="shared" si="53"/>
        <v>0.95779334500875657</v>
      </c>
      <c r="BT38" s="62">
        <f t="shared" si="54"/>
        <v>0.98359919119299033</v>
      </c>
      <c r="BU38" s="63">
        <f t="shared" si="32"/>
        <v>0.8832398912674142</v>
      </c>
      <c r="BV38" s="62">
        <f t="shared" si="33"/>
        <v>0.67114294240525219</v>
      </c>
      <c r="BW38" s="62">
        <f t="shared" si="34"/>
        <v>0.79553958988175422</v>
      </c>
      <c r="BX38" s="62">
        <f t="shared" si="35"/>
        <v>0.91068301225919435</v>
      </c>
      <c r="BY38" s="62">
        <f t="shared" si="36"/>
        <v>0.95686362615142662</v>
      </c>
      <c r="BZ38" s="64">
        <f t="shared" si="37"/>
        <v>0.81855249745157999</v>
      </c>
      <c r="CA38" s="62">
        <f t="shared" si="38"/>
        <v>0.47239629961205609</v>
      </c>
      <c r="CB38" s="62">
        <f t="shared" si="39"/>
        <v>0.70917527316270024</v>
      </c>
      <c r="CC38" s="62">
        <f t="shared" si="40"/>
        <v>0.84886164623467597</v>
      </c>
      <c r="CD38" s="62">
        <f t="shared" si="41"/>
        <v>0.92945405526847902</v>
      </c>
      <c r="CE38" s="65">
        <f t="shared" si="42"/>
        <v>0.71729527692830441</v>
      </c>
      <c r="CF38" s="62">
        <f t="shared" si="43"/>
        <v>0.32363473589973141</v>
      </c>
      <c r="CG38" s="62">
        <f t="shared" si="44"/>
        <v>0.55141445891333629</v>
      </c>
      <c r="CH38" s="62">
        <f t="shared" si="45"/>
        <v>0.7345008756567426</v>
      </c>
      <c r="CI38" s="62">
        <f t="shared" si="46"/>
        <v>0.87441024488878905</v>
      </c>
      <c r="CJ38" s="66">
        <f t="shared" si="47"/>
        <v>0.5920404349303432</v>
      </c>
      <c r="CK38" s="62">
        <f t="shared" si="100"/>
        <v>0.55270814682184422</v>
      </c>
      <c r="CL38" s="62">
        <f t="shared" si="100"/>
        <v>0.73720251459362363</v>
      </c>
      <c r="CM38" s="62">
        <f t="shared" si="100"/>
        <v>0.86295971978984243</v>
      </c>
      <c r="CN38" s="62">
        <f t="shared" si="100"/>
        <v>0.93608177937542125</v>
      </c>
      <c r="CO38" s="67">
        <f t="shared" si="49"/>
        <v>0.75278202514441039</v>
      </c>
      <c r="CP38" s="48"/>
    </row>
    <row r="39" spans="1:94" ht="30.75" customHeight="1" x14ac:dyDescent="0.3">
      <c r="A39" s="49">
        <v>32</v>
      </c>
      <c r="B39" s="50" t="s">
        <v>73</v>
      </c>
      <c r="C39" s="50" t="s">
        <v>75</v>
      </c>
      <c r="D39" s="85">
        <v>46143</v>
      </c>
      <c r="E39" s="52">
        <v>155</v>
      </c>
      <c r="F39" s="52">
        <v>155</v>
      </c>
      <c r="G39" s="53">
        <f t="shared" si="1"/>
        <v>1</v>
      </c>
      <c r="H39" s="52">
        <v>8218</v>
      </c>
      <c r="I39" s="52">
        <v>8290</v>
      </c>
      <c r="J39" s="52">
        <v>6862</v>
      </c>
      <c r="K39" s="52">
        <v>5311</v>
      </c>
      <c r="L39" s="54">
        <f t="shared" si="3"/>
        <v>28681</v>
      </c>
      <c r="M39" s="52">
        <v>7869</v>
      </c>
      <c r="N39" s="52">
        <v>7985</v>
      </c>
      <c r="O39" s="52">
        <v>6629</v>
      </c>
      <c r="P39" s="52">
        <v>5215</v>
      </c>
      <c r="Q39" s="54">
        <f t="shared" si="5"/>
        <v>27698</v>
      </c>
      <c r="R39" s="52">
        <v>51</v>
      </c>
      <c r="S39" s="52">
        <v>6</v>
      </c>
      <c r="T39" s="52">
        <v>1</v>
      </c>
      <c r="U39" s="52">
        <v>1</v>
      </c>
      <c r="V39" s="55">
        <f t="shared" si="7"/>
        <v>59</v>
      </c>
      <c r="W39" s="52">
        <v>386</v>
      </c>
      <c r="X39" s="52">
        <v>146</v>
      </c>
      <c r="Y39" s="52">
        <v>8</v>
      </c>
      <c r="Z39" s="52">
        <v>4</v>
      </c>
      <c r="AA39" s="55">
        <f t="shared" si="9"/>
        <v>544</v>
      </c>
      <c r="AB39" s="52">
        <v>2237</v>
      </c>
      <c r="AC39" s="52">
        <v>1263</v>
      </c>
      <c r="AD39" s="52">
        <v>335</v>
      </c>
      <c r="AE39" s="52">
        <v>84</v>
      </c>
      <c r="AF39" s="55">
        <f t="shared" si="11"/>
        <v>3919</v>
      </c>
      <c r="AG39" s="52">
        <v>5195</v>
      </c>
      <c r="AH39" s="52">
        <v>6570</v>
      </c>
      <c r="AI39" s="52">
        <v>6285</v>
      </c>
      <c r="AJ39" s="52">
        <v>5126</v>
      </c>
      <c r="AK39" s="55">
        <f t="shared" si="13"/>
        <v>23176</v>
      </c>
      <c r="AL39" s="56">
        <f t="shared" si="14"/>
        <v>0.28428008641504637</v>
      </c>
      <c r="AM39" s="56">
        <f t="shared" si="15"/>
        <v>0.15817157169693175</v>
      </c>
      <c r="AN39" s="56">
        <f t="shared" si="16"/>
        <v>5.0535525720319809E-2</v>
      </c>
      <c r="AO39" s="56">
        <f t="shared" si="17"/>
        <v>1.6107382550335572E-2</v>
      </c>
      <c r="AP39" s="57">
        <f t="shared" si="18"/>
        <v>0.14149036031482418</v>
      </c>
      <c r="AQ39" s="56">
        <f t="shared" si="19"/>
        <v>0.66018553818782566</v>
      </c>
      <c r="AR39" s="56">
        <f t="shared" si="20"/>
        <v>0.82279273638071382</v>
      </c>
      <c r="AS39" s="56">
        <f t="shared" si="21"/>
        <v>0.94810680343943277</v>
      </c>
      <c r="AT39" s="56">
        <f t="shared" si="22"/>
        <v>0.98293384467881117</v>
      </c>
      <c r="AU39" s="57">
        <f t="shared" si="23"/>
        <v>0.83673911473752616</v>
      </c>
      <c r="AV39" s="52">
        <v>5414</v>
      </c>
      <c r="AW39" s="52">
        <v>6277</v>
      </c>
      <c r="AX39" s="52">
        <v>5691</v>
      </c>
      <c r="AY39" s="52">
        <v>4678</v>
      </c>
      <c r="AZ39" s="58">
        <f t="shared" si="25"/>
        <v>22060</v>
      </c>
      <c r="BA39" s="52">
        <v>4606</v>
      </c>
      <c r="BB39" s="52">
        <v>5732</v>
      </c>
      <c r="BC39" s="52">
        <v>5330</v>
      </c>
      <c r="BD39" s="52">
        <v>4587</v>
      </c>
      <c r="BE39" s="59">
        <f t="shared" si="27"/>
        <v>20255</v>
      </c>
      <c r="BF39" s="52">
        <v>3427</v>
      </c>
      <c r="BG39" s="52">
        <v>5145</v>
      </c>
      <c r="BH39" s="52">
        <v>4979</v>
      </c>
      <c r="BI39" s="52">
        <v>4403</v>
      </c>
      <c r="BJ39" s="60">
        <f t="shared" si="29"/>
        <v>17954</v>
      </c>
      <c r="BK39" s="52">
        <v>2122</v>
      </c>
      <c r="BL39" s="52">
        <v>3973</v>
      </c>
      <c r="BM39" s="52">
        <v>4296</v>
      </c>
      <c r="BN39" s="52">
        <v>4239</v>
      </c>
      <c r="BO39" s="55">
        <f t="shared" si="31"/>
        <v>14630</v>
      </c>
      <c r="BP39" s="61"/>
      <c r="BQ39" s="62">
        <f t="shared" si="51"/>
        <v>0.68801626636167235</v>
      </c>
      <c r="BR39" s="62">
        <f t="shared" si="52"/>
        <v>0.78609893550407017</v>
      </c>
      <c r="BS39" s="62">
        <f t="shared" si="53"/>
        <v>0.8585005279831045</v>
      </c>
      <c r="BT39" s="62">
        <f t="shared" si="54"/>
        <v>0.89702780441035479</v>
      </c>
      <c r="BU39" s="63">
        <f t="shared" si="32"/>
        <v>0.7964473969239656</v>
      </c>
      <c r="BV39" s="62">
        <f t="shared" si="33"/>
        <v>0.58533485830474008</v>
      </c>
      <c r="BW39" s="62">
        <f t="shared" si="34"/>
        <v>0.71784596117720723</v>
      </c>
      <c r="BX39" s="62">
        <f t="shared" si="35"/>
        <v>0.80404284205762555</v>
      </c>
      <c r="BY39" s="62">
        <f t="shared" si="36"/>
        <v>0.87957813998082457</v>
      </c>
      <c r="BZ39" s="64">
        <f t="shared" si="37"/>
        <v>0.73128023684020504</v>
      </c>
      <c r="CA39" s="62">
        <f t="shared" si="38"/>
        <v>0.43550641758800357</v>
      </c>
      <c r="CB39" s="62">
        <f t="shared" si="39"/>
        <v>0.64433312460864123</v>
      </c>
      <c r="CC39" s="62">
        <f t="shared" si="40"/>
        <v>0.7510936792879771</v>
      </c>
      <c r="CD39" s="62">
        <f t="shared" si="41"/>
        <v>0.84429530201342284</v>
      </c>
      <c r="CE39" s="65">
        <f t="shared" si="42"/>
        <v>0.64820564661708424</v>
      </c>
      <c r="CF39" s="62">
        <f t="shared" si="43"/>
        <v>0.26966577710001272</v>
      </c>
      <c r="CG39" s="62">
        <f t="shared" si="44"/>
        <v>0.49755792110206637</v>
      </c>
      <c r="CH39" s="62">
        <f t="shared" si="45"/>
        <v>0.64806154774475788</v>
      </c>
      <c r="CI39" s="62">
        <f t="shared" si="46"/>
        <v>0.8128475551294343</v>
      </c>
      <c r="CJ39" s="66">
        <f t="shared" si="47"/>
        <v>0.52819698173153296</v>
      </c>
      <c r="CK39" s="62">
        <f t="shared" si="100"/>
        <v>0.49463082983860718</v>
      </c>
      <c r="CL39" s="62">
        <f t="shared" si="100"/>
        <v>0.66145898559799621</v>
      </c>
      <c r="CM39" s="62">
        <f t="shared" si="100"/>
        <v>0.76542464926836618</v>
      </c>
      <c r="CN39" s="62">
        <f t="shared" si="100"/>
        <v>0.85843720038350924</v>
      </c>
      <c r="CO39" s="67">
        <f t="shared" si="49"/>
        <v>0.6760325655281969</v>
      </c>
      <c r="CP39" s="48"/>
    </row>
    <row r="40" spans="1:94" ht="30.75" customHeight="1" x14ac:dyDescent="0.3">
      <c r="A40" s="49">
        <v>33</v>
      </c>
      <c r="B40" s="50" t="s">
        <v>73</v>
      </c>
      <c r="C40" s="50" t="s">
        <v>76</v>
      </c>
      <c r="D40" s="85">
        <v>46144</v>
      </c>
      <c r="E40" s="52">
        <v>93</v>
      </c>
      <c r="F40" s="52">
        <v>93</v>
      </c>
      <c r="G40" s="53">
        <f t="shared" si="1"/>
        <v>1</v>
      </c>
      <c r="H40" s="52">
        <v>9197</v>
      </c>
      <c r="I40" s="52">
        <v>9128</v>
      </c>
      <c r="J40" s="52">
        <v>7969</v>
      </c>
      <c r="K40" s="52">
        <v>6894</v>
      </c>
      <c r="L40" s="54">
        <f t="shared" si="3"/>
        <v>33188</v>
      </c>
      <c r="M40" s="52">
        <v>8898</v>
      </c>
      <c r="N40" s="52">
        <v>8932</v>
      </c>
      <c r="O40" s="52">
        <v>7781</v>
      </c>
      <c r="P40" s="52">
        <v>6790</v>
      </c>
      <c r="Q40" s="54">
        <f t="shared" si="5"/>
        <v>32401</v>
      </c>
      <c r="R40" s="52">
        <v>19</v>
      </c>
      <c r="S40" s="52">
        <v>0</v>
      </c>
      <c r="T40" s="52">
        <v>0</v>
      </c>
      <c r="U40" s="52">
        <v>0</v>
      </c>
      <c r="V40" s="55">
        <f t="shared" si="7"/>
        <v>19</v>
      </c>
      <c r="W40" s="52">
        <v>180</v>
      </c>
      <c r="X40" s="52">
        <v>24</v>
      </c>
      <c r="Y40" s="52">
        <v>9</v>
      </c>
      <c r="Z40" s="52">
        <v>1</v>
      </c>
      <c r="AA40" s="55">
        <f t="shared" si="9"/>
        <v>214</v>
      </c>
      <c r="AB40" s="52">
        <v>1375</v>
      </c>
      <c r="AC40" s="52">
        <v>784</v>
      </c>
      <c r="AD40" s="52">
        <v>197</v>
      </c>
      <c r="AE40" s="52">
        <v>53</v>
      </c>
      <c r="AF40" s="55">
        <f t="shared" si="11"/>
        <v>2409</v>
      </c>
      <c r="AG40" s="52">
        <v>7324</v>
      </c>
      <c r="AH40" s="52">
        <v>8124</v>
      </c>
      <c r="AI40" s="52">
        <v>7575</v>
      </c>
      <c r="AJ40" s="52">
        <v>6736</v>
      </c>
      <c r="AK40" s="55">
        <f t="shared" si="13"/>
        <v>29759</v>
      </c>
      <c r="AL40" s="56">
        <f t="shared" si="14"/>
        <v>0.15452910766464373</v>
      </c>
      <c r="AM40" s="56">
        <f t="shared" si="15"/>
        <v>8.7774294670846395E-2</v>
      </c>
      <c r="AN40" s="56">
        <f t="shared" si="16"/>
        <v>2.5318082508674976E-2</v>
      </c>
      <c r="AO40" s="56">
        <f t="shared" si="17"/>
        <v>7.8055964653902798E-3</v>
      </c>
      <c r="AP40" s="57">
        <f t="shared" si="18"/>
        <v>7.4349557112434808E-2</v>
      </c>
      <c r="AQ40" s="56">
        <f t="shared" si="19"/>
        <v>0.82310631602607331</v>
      </c>
      <c r="AR40" s="56">
        <f t="shared" si="20"/>
        <v>0.90953873712494404</v>
      </c>
      <c r="AS40" s="56">
        <f t="shared" si="21"/>
        <v>0.97352525382341604</v>
      </c>
      <c r="AT40" s="56">
        <f t="shared" si="22"/>
        <v>0.99204712812960238</v>
      </c>
      <c r="AU40" s="57">
        <f t="shared" si="23"/>
        <v>0.91845930681151822</v>
      </c>
      <c r="AV40" s="52">
        <v>7460</v>
      </c>
      <c r="AW40" s="52">
        <v>8103</v>
      </c>
      <c r="AX40" s="52">
        <v>7243</v>
      </c>
      <c r="AY40" s="52">
        <v>6559</v>
      </c>
      <c r="AZ40" s="58">
        <f t="shared" si="25"/>
        <v>29365</v>
      </c>
      <c r="BA40" s="52">
        <v>6576</v>
      </c>
      <c r="BB40" s="52">
        <v>7325</v>
      </c>
      <c r="BC40" s="52">
        <v>6969</v>
      </c>
      <c r="BD40" s="52">
        <v>6312</v>
      </c>
      <c r="BE40" s="59">
        <f t="shared" si="27"/>
        <v>27182</v>
      </c>
      <c r="BF40" s="52">
        <v>5272</v>
      </c>
      <c r="BG40" s="52">
        <v>6517</v>
      </c>
      <c r="BH40" s="52">
        <v>6393</v>
      </c>
      <c r="BI40" s="52">
        <v>5942</v>
      </c>
      <c r="BJ40" s="60">
        <f t="shared" si="29"/>
        <v>24124</v>
      </c>
      <c r="BK40" s="52">
        <v>3927</v>
      </c>
      <c r="BL40" s="52">
        <v>5289</v>
      </c>
      <c r="BM40" s="52">
        <v>5493</v>
      </c>
      <c r="BN40" s="52">
        <v>5384</v>
      </c>
      <c r="BO40" s="55">
        <f t="shared" si="31"/>
        <v>20093</v>
      </c>
      <c r="BP40" s="61"/>
      <c r="BQ40" s="62">
        <f t="shared" si="51"/>
        <v>0.8383906495841762</v>
      </c>
      <c r="BR40" s="62">
        <f t="shared" si="52"/>
        <v>0.90718763994626062</v>
      </c>
      <c r="BS40" s="62">
        <f t="shared" si="53"/>
        <v>0.93085721629610585</v>
      </c>
      <c r="BT40" s="62">
        <f t="shared" si="54"/>
        <v>0.96597938144329898</v>
      </c>
      <c r="BU40" s="63">
        <f t="shared" si="32"/>
        <v>0.90629918829665757</v>
      </c>
      <c r="BV40" s="62">
        <f t="shared" si="33"/>
        <v>0.73904248145650708</v>
      </c>
      <c r="BW40" s="62">
        <f t="shared" si="34"/>
        <v>0.82008508732646668</v>
      </c>
      <c r="BX40" s="62">
        <f t="shared" si="35"/>
        <v>0.89564323351754271</v>
      </c>
      <c r="BY40" s="62">
        <f t="shared" si="36"/>
        <v>0.92960235640648015</v>
      </c>
      <c r="BZ40" s="64">
        <f t="shared" si="37"/>
        <v>0.83892472454553868</v>
      </c>
      <c r="CA40" s="62">
        <f t="shared" si="38"/>
        <v>0.59249269498763768</v>
      </c>
      <c r="CB40" s="62">
        <f t="shared" si="39"/>
        <v>0.72962382445141061</v>
      </c>
      <c r="CC40" s="62">
        <f t="shared" si="40"/>
        <v>0.8216167587713662</v>
      </c>
      <c r="CD40" s="62">
        <f t="shared" si="41"/>
        <v>0.87511045655375552</v>
      </c>
      <c r="CE40" s="65">
        <f t="shared" si="42"/>
        <v>0.74454492145304152</v>
      </c>
      <c r="CF40" s="62">
        <f t="shared" si="43"/>
        <v>0.44133513149022252</v>
      </c>
      <c r="CG40" s="62">
        <f t="shared" si="44"/>
        <v>0.59214061800268691</v>
      </c>
      <c r="CH40" s="62">
        <f t="shared" si="45"/>
        <v>0.70595039198046527</v>
      </c>
      <c r="CI40" s="62">
        <f t="shared" si="46"/>
        <v>0.7929307805596465</v>
      </c>
      <c r="CJ40" s="66">
        <f t="shared" si="47"/>
        <v>0.62013518101293175</v>
      </c>
      <c r="CK40" s="62">
        <f t="shared" si="100"/>
        <v>0.65281523937963581</v>
      </c>
      <c r="CL40" s="62">
        <f t="shared" si="100"/>
        <v>0.7622592924317062</v>
      </c>
      <c r="CM40" s="62">
        <f t="shared" si="100"/>
        <v>0.83851690014136993</v>
      </c>
      <c r="CN40" s="62">
        <f t="shared" si="100"/>
        <v>0.89090574374079523</v>
      </c>
      <c r="CO40" s="67">
        <f t="shared" si="49"/>
        <v>0.77747600382704241</v>
      </c>
      <c r="CP40" s="48"/>
    </row>
    <row r="41" spans="1:94" ht="30.75" customHeight="1" x14ac:dyDescent="0.3">
      <c r="A41" s="49">
        <v>34</v>
      </c>
      <c r="B41" s="50" t="s">
        <v>73</v>
      </c>
      <c r="C41" s="50" t="s">
        <v>77</v>
      </c>
      <c r="D41" s="85">
        <v>46145</v>
      </c>
      <c r="E41" s="52">
        <v>157</v>
      </c>
      <c r="F41" s="52">
        <v>156</v>
      </c>
      <c r="G41" s="53">
        <f t="shared" si="1"/>
        <v>0.99363057324840764</v>
      </c>
      <c r="H41" s="52">
        <v>4156</v>
      </c>
      <c r="I41" s="52">
        <v>4035</v>
      </c>
      <c r="J41" s="52">
        <v>3379</v>
      </c>
      <c r="K41" s="52">
        <v>2461</v>
      </c>
      <c r="L41" s="54">
        <f t="shared" si="3"/>
        <v>14031</v>
      </c>
      <c r="M41" s="52">
        <v>4109</v>
      </c>
      <c r="N41" s="52">
        <v>3953</v>
      </c>
      <c r="O41" s="52">
        <v>3331</v>
      </c>
      <c r="P41" s="52">
        <v>2453</v>
      </c>
      <c r="Q41" s="54">
        <f t="shared" si="5"/>
        <v>13846</v>
      </c>
      <c r="R41" s="52">
        <v>7</v>
      </c>
      <c r="S41" s="52">
        <v>1</v>
      </c>
      <c r="T41" s="52">
        <v>0</v>
      </c>
      <c r="U41" s="52">
        <v>0</v>
      </c>
      <c r="V41" s="55">
        <f t="shared" si="7"/>
        <v>8</v>
      </c>
      <c r="W41" s="52">
        <v>145</v>
      </c>
      <c r="X41" s="52">
        <v>26</v>
      </c>
      <c r="Y41" s="52">
        <v>1</v>
      </c>
      <c r="Z41" s="52">
        <v>0</v>
      </c>
      <c r="AA41" s="55">
        <f t="shared" si="9"/>
        <v>172</v>
      </c>
      <c r="AB41" s="52">
        <v>1213</v>
      </c>
      <c r="AC41" s="52">
        <v>525</v>
      </c>
      <c r="AD41" s="52">
        <v>134</v>
      </c>
      <c r="AE41" s="52">
        <v>8</v>
      </c>
      <c r="AF41" s="55">
        <f t="shared" si="11"/>
        <v>1880</v>
      </c>
      <c r="AG41" s="52">
        <v>2744</v>
      </c>
      <c r="AH41" s="52">
        <v>3401</v>
      </c>
      <c r="AI41" s="52">
        <v>3196</v>
      </c>
      <c r="AJ41" s="52">
        <v>2445</v>
      </c>
      <c r="AK41" s="55">
        <f t="shared" si="13"/>
        <v>11786</v>
      </c>
      <c r="AL41" s="56">
        <f t="shared" si="14"/>
        <v>0.2952056461426138</v>
      </c>
      <c r="AM41" s="56">
        <f t="shared" si="15"/>
        <v>0.13281052365292184</v>
      </c>
      <c r="AN41" s="56">
        <f t="shared" si="16"/>
        <v>4.0228159711798259E-2</v>
      </c>
      <c r="AO41" s="56">
        <f t="shared" si="17"/>
        <v>3.2613126783530371E-3</v>
      </c>
      <c r="AP41" s="57">
        <f t="shared" si="18"/>
        <v>0.13577928643651596</v>
      </c>
      <c r="AQ41" s="56">
        <f t="shared" si="19"/>
        <v>0.66780238500851785</v>
      </c>
      <c r="AR41" s="56">
        <f t="shared" si="20"/>
        <v>0.86035922084492789</v>
      </c>
      <c r="AS41" s="56">
        <f t="shared" si="21"/>
        <v>0.95947163014109882</v>
      </c>
      <c r="AT41" s="56">
        <f t="shared" si="22"/>
        <v>0.99673868732164694</v>
      </c>
      <c r="AU41" s="57">
        <f t="shared" si="23"/>
        <v>0.8512205691174346</v>
      </c>
      <c r="AV41" s="52">
        <v>2706</v>
      </c>
      <c r="AW41" s="52">
        <v>3436</v>
      </c>
      <c r="AX41" s="52">
        <v>3188</v>
      </c>
      <c r="AY41" s="52">
        <v>2433</v>
      </c>
      <c r="AZ41" s="58">
        <f t="shared" si="25"/>
        <v>11763</v>
      </c>
      <c r="BA41" s="52">
        <v>2051</v>
      </c>
      <c r="BB41" s="52">
        <v>3008</v>
      </c>
      <c r="BC41" s="52">
        <v>2942</v>
      </c>
      <c r="BD41" s="52">
        <v>2373</v>
      </c>
      <c r="BE41" s="59">
        <f t="shared" si="27"/>
        <v>10374</v>
      </c>
      <c r="BF41" s="52">
        <v>1169</v>
      </c>
      <c r="BG41" s="52">
        <v>2514</v>
      </c>
      <c r="BH41" s="52">
        <v>2784</v>
      </c>
      <c r="BI41" s="52">
        <v>2339</v>
      </c>
      <c r="BJ41" s="60">
        <f t="shared" si="29"/>
        <v>8806</v>
      </c>
      <c r="BK41" s="52">
        <v>520</v>
      </c>
      <c r="BL41" s="52">
        <v>1577</v>
      </c>
      <c r="BM41" s="52">
        <v>2302</v>
      </c>
      <c r="BN41" s="52">
        <v>2213</v>
      </c>
      <c r="BO41" s="55">
        <f t="shared" si="31"/>
        <v>6612</v>
      </c>
      <c r="BP41" s="61"/>
      <c r="BQ41" s="62">
        <f t="shared" si="51"/>
        <v>0.65855439279630079</v>
      </c>
      <c r="BR41" s="62">
        <f t="shared" si="52"/>
        <v>0.86921325575512265</v>
      </c>
      <c r="BS41" s="62">
        <f t="shared" si="53"/>
        <v>0.957069948964275</v>
      </c>
      <c r="BT41" s="62">
        <f t="shared" si="54"/>
        <v>0.99184671830411741</v>
      </c>
      <c r="BU41" s="63">
        <f t="shared" si="32"/>
        <v>0.84955943954932833</v>
      </c>
      <c r="BV41" s="62">
        <f t="shared" si="33"/>
        <v>0.49914821124361158</v>
      </c>
      <c r="BW41" s="62">
        <f t="shared" si="34"/>
        <v>0.76094105742474072</v>
      </c>
      <c r="BX41" s="62">
        <f t="shared" si="35"/>
        <v>0.88321825277694388</v>
      </c>
      <c r="BY41" s="62">
        <f t="shared" si="36"/>
        <v>0.96738687321646966</v>
      </c>
      <c r="BZ41" s="64">
        <f t="shared" si="37"/>
        <v>0.74924165824064715</v>
      </c>
      <c r="CA41" s="62">
        <f t="shared" si="38"/>
        <v>0.28449744463373083</v>
      </c>
      <c r="CB41" s="62">
        <f t="shared" si="39"/>
        <v>0.63597267897799137</v>
      </c>
      <c r="CC41" s="62">
        <f t="shared" si="40"/>
        <v>0.83578504953467425</v>
      </c>
      <c r="CD41" s="62">
        <f t="shared" si="41"/>
        <v>0.95352629433346925</v>
      </c>
      <c r="CE41" s="65">
        <f t="shared" si="42"/>
        <v>0.63599595551061683</v>
      </c>
      <c r="CF41" s="62">
        <f t="shared" si="43"/>
        <v>0.12655147237770747</v>
      </c>
      <c r="CG41" s="62">
        <f t="shared" si="44"/>
        <v>0.39893751581077663</v>
      </c>
      <c r="CH41" s="62">
        <f t="shared" si="45"/>
        <v>0.69108375863104177</v>
      </c>
      <c r="CI41" s="62">
        <f t="shared" si="46"/>
        <v>0.90216061964940886</v>
      </c>
      <c r="CJ41" s="66">
        <f t="shared" si="47"/>
        <v>0.47753863931821466</v>
      </c>
      <c r="CK41" s="62">
        <f t="shared" si="100"/>
        <v>0.39218788026283763</v>
      </c>
      <c r="CL41" s="62">
        <f t="shared" si="100"/>
        <v>0.66626612699215793</v>
      </c>
      <c r="CM41" s="62">
        <f t="shared" si="100"/>
        <v>0.84178925247673375</v>
      </c>
      <c r="CN41" s="62">
        <f t="shared" si="100"/>
        <v>0.95373012637586629</v>
      </c>
      <c r="CO41" s="67">
        <f t="shared" si="49"/>
        <v>0.67808392315470178</v>
      </c>
      <c r="CP41" s="48"/>
    </row>
    <row r="42" spans="1:94" ht="30.75" customHeight="1" x14ac:dyDescent="0.3">
      <c r="A42" s="49">
        <v>35</v>
      </c>
      <c r="B42" s="50" t="s">
        <v>73</v>
      </c>
      <c r="C42" s="50" t="s">
        <v>78</v>
      </c>
      <c r="D42" s="85">
        <v>46143</v>
      </c>
      <c r="E42" s="52">
        <v>287</v>
      </c>
      <c r="F42" s="52">
        <v>260</v>
      </c>
      <c r="G42" s="53">
        <f t="shared" si="1"/>
        <v>0.90592334494773519</v>
      </c>
      <c r="H42" s="52">
        <v>6676</v>
      </c>
      <c r="I42" s="52">
        <v>6230</v>
      </c>
      <c r="J42" s="52">
        <v>4791</v>
      </c>
      <c r="K42" s="52">
        <v>3300</v>
      </c>
      <c r="L42" s="54">
        <f t="shared" si="3"/>
        <v>20997</v>
      </c>
      <c r="M42" s="52">
        <v>6194</v>
      </c>
      <c r="N42" s="52">
        <v>5774</v>
      </c>
      <c r="O42" s="52">
        <v>4430</v>
      </c>
      <c r="P42" s="52">
        <v>3081</v>
      </c>
      <c r="Q42" s="54">
        <f t="shared" si="5"/>
        <v>19479</v>
      </c>
      <c r="R42" s="52">
        <v>19</v>
      </c>
      <c r="S42" s="52">
        <v>1</v>
      </c>
      <c r="T42" s="52">
        <v>0</v>
      </c>
      <c r="U42" s="52">
        <v>0</v>
      </c>
      <c r="V42" s="55">
        <f t="shared" si="7"/>
        <v>20</v>
      </c>
      <c r="W42" s="52">
        <v>232</v>
      </c>
      <c r="X42" s="52">
        <v>21</v>
      </c>
      <c r="Y42" s="52">
        <v>0</v>
      </c>
      <c r="Z42" s="52">
        <v>0</v>
      </c>
      <c r="AA42" s="55">
        <f t="shared" si="9"/>
        <v>253</v>
      </c>
      <c r="AB42" s="52">
        <v>1589</v>
      </c>
      <c r="AC42" s="52">
        <v>839</v>
      </c>
      <c r="AD42" s="52">
        <v>240</v>
      </c>
      <c r="AE42" s="52">
        <v>73</v>
      </c>
      <c r="AF42" s="55">
        <f t="shared" si="11"/>
        <v>2741</v>
      </c>
      <c r="AG42" s="52">
        <v>4354</v>
      </c>
      <c r="AH42" s="52">
        <v>4913</v>
      </c>
      <c r="AI42" s="52">
        <v>4190</v>
      </c>
      <c r="AJ42" s="52">
        <v>3008</v>
      </c>
      <c r="AK42" s="55">
        <f t="shared" si="13"/>
        <v>16465</v>
      </c>
      <c r="AL42" s="56">
        <f t="shared" si="14"/>
        <v>0.25653858572812399</v>
      </c>
      <c r="AM42" s="56">
        <f t="shared" si="15"/>
        <v>0.14530654658815378</v>
      </c>
      <c r="AN42" s="56">
        <f t="shared" si="16"/>
        <v>5.4176072234762979E-2</v>
      </c>
      <c r="AO42" s="56">
        <f t="shared" si="17"/>
        <v>2.3693605972086983E-2</v>
      </c>
      <c r="AP42" s="57">
        <f t="shared" si="18"/>
        <v>0.14071564248678065</v>
      </c>
      <c r="AQ42" s="56">
        <f t="shared" si="19"/>
        <v>0.70293832741362605</v>
      </c>
      <c r="AR42" s="56">
        <f t="shared" si="20"/>
        <v>0.85088326983027363</v>
      </c>
      <c r="AS42" s="56">
        <f t="shared" si="21"/>
        <v>0.94582392776523705</v>
      </c>
      <c r="AT42" s="56">
        <f t="shared" si="22"/>
        <v>0.97630639402791297</v>
      </c>
      <c r="AU42" s="57">
        <f t="shared" si="23"/>
        <v>0.84526926433595151</v>
      </c>
      <c r="AV42" s="52">
        <v>5169</v>
      </c>
      <c r="AW42" s="52">
        <v>5231</v>
      </c>
      <c r="AX42" s="52">
        <v>4215</v>
      </c>
      <c r="AY42" s="52">
        <v>2979</v>
      </c>
      <c r="AZ42" s="58">
        <f t="shared" si="25"/>
        <v>17594</v>
      </c>
      <c r="BA42" s="52">
        <v>4675</v>
      </c>
      <c r="BB42" s="52">
        <v>4832</v>
      </c>
      <c r="BC42" s="52">
        <v>4051</v>
      </c>
      <c r="BD42" s="52">
        <v>2929</v>
      </c>
      <c r="BE42" s="59">
        <f t="shared" si="27"/>
        <v>16487</v>
      </c>
      <c r="BF42" s="52">
        <v>3255</v>
      </c>
      <c r="BG42" s="52">
        <v>3929</v>
      </c>
      <c r="BH42" s="52">
        <v>3587</v>
      </c>
      <c r="BI42" s="52">
        <v>2749</v>
      </c>
      <c r="BJ42" s="60">
        <f t="shared" si="29"/>
        <v>13520</v>
      </c>
      <c r="BK42" s="52">
        <v>1932</v>
      </c>
      <c r="BL42" s="52">
        <v>2953</v>
      </c>
      <c r="BM42" s="52">
        <v>3039</v>
      </c>
      <c r="BN42" s="52">
        <v>2527</v>
      </c>
      <c r="BO42" s="55">
        <f t="shared" si="31"/>
        <v>10451</v>
      </c>
      <c r="BP42" s="61"/>
      <c r="BQ42" s="62">
        <f t="shared" si="51"/>
        <v>0.83451727478204718</v>
      </c>
      <c r="BR42" s="62">
        <f t="shared" si="52"/>
        <v>0.90595774160027709</v>
      </c>
      <c r="BS42" s="62">
        <f t="shared" si="53"/>
        <v>0.95146726862302478</v>
      </c>
      <c r="BT42" s="62">
        <f t="shared" si="54"/>
        <v>0.9668938656280428</v>
      </c>
      <c r="BU42" s="63">
        <f t="shared" si="32"/>
        <v>0.90322911853791266</v>
      </c>
      <c r="BV42" s="62">
        <f t="shared" si="33"/>
        <v>0.75476267355505333</v>
      </c>
      <c r="BW42" s="62">
        <f t="shared" si="34"/>
        <v>0.83685486664357467</v>
      </c>
      <c r="BX42" s="62">
        <f t="shared" si="35"/>
        <v>0.91444695259593678</v>
      </c>
      <c r="BY42" s="62">
        <f t="shared" si="36"/>
        <v>0.95066536838688742</v>
      </c>
      <c r="BZ42" s="64">
        <f t="shared" si="37"/>
        <v>0.84639868576415622</v>
      </c>
      <c r="CA42" s="62">
        <f t="shared" si="38"/>
        <v>0.52550855666774299</v>
      </c>
      <c r="CB42" s="62">
        <f t="shared" si="39"/>
        <v>0.68046414963630064</v>
      </c>
      <c r="CC42" s="62">
        <f t="shared" si="40"/>
        <v>0.80970654627539507</v>
      </c>
      <c r="CD42" s="62">
        <f t="shared" si="41"/>
        <v>0.89224277831872767</v>
      </c>
      <c r="CE42" s="65">
        <f t="shared" si="42"/>
        <v>0.69408080496945423</v>
      </c>
      <c r="CF42" s="62">
        <f t="shared" si="43"/>
        <v>0.31191475621569259</v>
      </c>
      <c r="CG42" s="62">
        <f t="shared" si="44"/>
        <v>0.51143055074471766</v>
      </c>
      <c r="CH42" s="62">
        <f t="shared" si="45"/>
        <v>0.68600451467268619</v>
      </c>
      <c r="CI42" s="62">
        <f t="shared" si="46"/>
        <v>0.82018825056799738</v>
      </c>
      <c r="CJ42" s="66">
        <f t="shared" si="47"/>
        <v>0.53652651573489396</v>
      </c>
      <c r="CK42" s="62">
        <f t="shared" si="100"/>
        <v>0.60667581530513404</v>
      </c>
      <c r="CL42" s="62">
        <f t="shared" si="100"/>
        <v>0.73367682715621751</v>
      </c>
      <c r="CM42" s="62">
        <f t="shared" si="100"/>
        <v>0.84040632054176068</v>
      </c>
      <c r="CN42" s="62">
        <f t="shared" si="100"/>
        <v>0.90749756572541385</v>
      </c>
      <c r="CO42" s="67">
        <f t="shared" si="49"/>
        <v>0.7450587812516043</v>
      </c>
      <c r="CP42" s="48"/>
    </row>
    <row r="43" spans="1:94" ht="30.75" customHeight="1" x14ac:dyDescent="0.3">
      <c r="A43" s="49">
        <v>36</v>
      </c>
      <c r="B43" s="50" t="s">
        <v>73</v>
      </c>
      <c r="C43" s="50" t="s">
        <v>79</v>
      </c>
      <c r="D43" s="85">
        <v>46143</v>
      </c>
      <c r="E43" s="52">
        <v>175</v>
      </c>
      <c r="F43" s="52">
        <v>162</v>
      </c>
      <c r="G43" s="53">
        <f t="shared" si="1"/>
        <v>0.92571428571428571</v>
      </c>
      <c r="H43" s="52">
        <v>5729</v>
      </c>
      <c r="I43" s="52">
        <v>5153</v>
      </c>
      <c r="J43" s="52">
        <v>4501</v>
      </c>
      <c r="K43" s="52">
        <v>4040</v>
      </c>
      <c r="L43" s="54">
        <f t="shared" si="3"/>
        <v>19423</v>
      </c>
      <c r="M43" s="52">
        <v>4790</v>
      </c>
      <c r="N43" s="52">
        <v>5073</v>
      </c>
      <c r="O43" s="52">
        <v>4425</v>
      </c>
      <c r="P43" s="52">
        <v>3729</v>
      </c>
      <c r="Q43" s="54">
        <f t="shared" si="5"/>
        <v>18017</v>
      </c>
      <c r="R43" s="52">
        <v>5</v>
      </c>
      <c r="S43" s="52">
        <v>3</v>
      </c>
      <c r="T43" s="52">
        <v>0</v>
      </c>
      <c r="U43" s="52">
        <v>0</v>
      </c>
      <c r="V43" s="55">
        <f t="shared" si="7"/>
        <v>8</v>
      </c>
      <c r="W43" s="52">
        <v>120</v>
      </c>
      <c r="X43" s="52">
        <v>35</v>
      </c>
      <c r="Y43" s="52">
        <v>13</v>
      </c>
      <c r="Z43" s="52">
        <v>1</v>
      </c>
      <c r="AA43" s="55">
        <f t="shared" si="9"/>
        <v>169</v>
      </c>
      <c r="AB43" s="52">
        <v>1048</v>
      </c>
      <c r="AC43" s="52">
        <v>728</v>
      </c>
      <c r="AD43" s="52">
        <v>196</v>
      </c>
      <c r="AE43" s="52">
        <v>23</v>
      </c>
      <c r="AF43" s="55">
        <f t="shared" si="11"/>
        <v>1995</v>
      </c>
      <c r="AG43" s="52">
        <v>3617</v>
      </c>
      <c r="AH43" s="52">
        <v>4307</v>
      </c>
      <c r="AI43" s="52">
        <v>4216</v>
      </c>
      <c r="AJ43" s="52">
        <v>3705</v>
      </c>
      <c r="AK43" s="55">
        <f t="shared" si="13"/>
        <v>15845</v>
      </c>
      <c r="AL43" s="56">
        <f t="shared" si="14"/>
        <v>0.21878914405010438</v>
      </c>
      <c r="AM43" s="56">
        <f t="shared" si="15"/>
        <v>0.14350482948945398</v>
      </c>
      <c r="AN43" s="56">
        <f t="shared" si="16"/>
        <v>4.4293785310734461E-2</v>
      </c>
      <c r="AO43" s="56">
        <f t="shared" si="17"/>
        <v>6.1678734245105924E-3</v>
      </c>
      <c r="AP43" s="57">
        <f t="shared" si="18"/>
        <v>0.11072875617472387</v>
      </c>
      <c r="AQ43" s="56">
        <f t="shared" si="19"/>
        <v>0.75511482254697282</v>
      </c>
      <c r="AR43" s="56">
        <f t="shared" si="20"/>
        <v>0.84900453380642615</v>
      </c>
      <c r="AS43" s="56">
        <f t="shared" si="21"/>
        <v>0.95276836158192091</v>
      </c>
      <c r="AT43" s="56">
        <f t="shared" si="22"/>
        <v>0.99356395816572807</v>
      </c>
      <c r="AU43" s="57">
        <f t="shared" si="23"/>
        <v>0.87944718876616523</v>
      </c>
      <c r="AV43" s="52">
        <v>3818</v>
      </c>
      <c r="AW43" s="52">
        <v>4603</v>
      </c>
      <c r="AX43" s="52">
        <v>4310</v>
      </c>
      <c r="AY43" s="52">
        <v>3708</v>
      </c>
      <c r="AZ43" s="58">
        <f t="shared" si="25"/>
        <v>16439</v>
      </c>
      <c r="BA43" s="52">
        <v>3150</v>
      </c>
      <c r="BB43" s="52">
        <v>4047</v>
      </c>
      <c r="BC43" s="52">
        <v>4103</v>
      </c>
      <c r="BD43" s="52">
        <v>3686</v>
      </c>
      <c r="BE43" s="59">
        <f t="shared" si="27"/>
        <v>14986</v>
      </c>
      <c r="BF43" s="52">
        <v>2037</v>
      </c>
      <c r="BG43" s="52">
        <v>3582</v>
      </c>
      <c r="BH43" s="52">
        <v>3915</v>
      </c>
      <c r="BI43" s="52">
        <v>3630</v>
      </c>
      <c r="BJ43" s="60">
        <f t="shared" si="29"/>
        <v>13164</v>
      </c>
      <c r="BK43" s="52">
        <v>1203</v>
      </c>
      <c r="BL43" s="52">
        <v>2645</v>
      </c>
      <c r="BM43" s="52">
        <v>3314</v>
      </c>
      <c r="BN43" s="52">
        <v>3464</v>
      </c>
      <c r="BO43" s="55">
        <f t="shared" si="31"/>
        <v>10626</v>
      </c>
      <c r="BP43" s="61"/>
      <c r="BQ43" s="62">
        <f t="shared" si="51"/>
        <v>0.79707724425887261</v>
      </c>
      <c r="BR43" s="62">
        <f t="shared" si="52"/>
        <v>0.90735265129114917</v>
      </c>
      <c r="BS43" s="62">
        <f t="shared" si="53"/>
        <v>0.97401129943502829</v>
      </c>
      <c r="BT43" s="62">
        <f t="shared" si="54"/>
        <v>0.99436846339501206</v>
      </c>
      <c r="BU43" s="63">
        <f t="shared" si="32"/>
        <v>0.91241605150691019</v>
      </c>
      <c r="BV43" s="62">
        <f t="shared" si="33"/>
        <v>0.65762004175365341</v>
      </c>
      <c r="BW43" s="62">
        <f t="shared" si="34"/>
        <v>0.797752808988764</v>
      </c>
      <c r="BX43" s="62">
        <f t="shared" si="35"/>
        <v>0.9272316384180791</v>
      </c>
      <c r="BY43" s="62">
        <f t="shared" si="36"/>
        <v>0.98846875838026282</v>
      </c>
      <c r="BZ43" s="64">
        <f t="shared" si="37"/>
        <v>0.83176999500471782</v>
      </c>
      <c r="CA43" s="62">
        <f t="shared" si="38"/>
        <v>0.42526096033402921</v>
      </c>
      <c r="CB43" s="62">
        <f t="shared" si="39"/>
        <v>0.70609107037256058</v>
      </c>
      <c r="CC43" s="62">
        <f t="shared" si="40"/>
        <v>0.88474576271186445</v>
      </c>
      <c r="CD43" s="62">
        <f t="shared" si="41"/>
        <v>0.97345132743362828</v>
      </c>
      <c r="CE43" s="65">
        <f t="shared" si="42"/>
        <v>0.73064328134539602</v>
      </c>
      <c r="CF43" s="62">
        <f t="shared" si="43"/>
        <v>0.25114822546972859</v>
      </c>
      <c r="CG43" s="62">
        <f t="shared" si="44"/>
        <v>0.52138773901044744</v>
      </c>
      <c r="CH43" s="62">
        <f t="shared" si="45"/>
        <v>0.74892655367231642</v>
      </c>
      <c r="CI43" s="62">
        <f t="shared" si="46"/>
        <v>0.92893537141324756</v>
      </c>
      <c r="CJ43" s="66">
        <f t="shared" si="47"/>
        <v>0.58977632236221345</v>
      </c>
      <c r="CK43" s="62">
        <f t="shared" si="100"/>
        <v>0.53277661795407094</v>
      </c>
      <c r="CL43" s="62">
        <f t="shared" si="100"/>
        <v>0.7331460674157303</v>
      </c>
      <c r="CM43" s="62">
        <f t="shared" si="100"/>
        <v>0.88372881355932209</v>
      </c>
      <c r="CN43" s="62">
        <f t="shared" si="100"/>
        <v>0.97130598015553771</v>
      </c>
      <c r="CO43" s="67">
        <f t="shared" si="49"/>
        <v>0.76615141255480934</v>
      </c>
      <c r="CP43" s="48"/>
    </row>
    <row r="44" spans="1:94" ht="30.75" customHeight="1" x14ac:dyDescent="0.3">
      <c r="A44" s="49">
        <v>37</v>
      </c>
      <c r="B44" s="50" t="s">
        <v>73</v>
      </c>
      <c r="C44" s="50" t="s">
        <v>80</v>
      </c>
      <c r="D44" s="85">
        <v>46143</v>
      </c>
      <c r="E44" s="52">
        <v>346</v>
      </c>
      <c r="F44" s="52">
        <v>343</v>
      </c>
      <c r="G44" s="53">
        <f t="shared" si="1"/>
        <v>0.99132947976878616</v>
      </c>
      <c r="H44" s="52">
        <v>7383</v>
      </c>
      <c r="I44" s="52">
        <v>7250</v>
      </c>
      <c r="J44" s="52">
        <v>6227</v>
      </c>
      <c r="K44" s="52">
        <v>4095</v>
      </c>
      <c r="L44" s="54">
        <f t="shared" si="3"/>
        <v>24955</v>
      </c>
      <c r="M44" s="52">
        <v>7335</v>
      </c>
      <c r="N44" s="52">
        <v>7202</v>
      </c>
      <c r="O44" s="52">
        <v>6185</v>
      </c>
      <c r="P44" s="52">
        <v>4086</v>
      </c>
      <c r="Q44" s="54">
        <f t="shared" si="5"/>
        <v>24808</v>
      </c>
      <c r="R44" s="52">
        <v>8</v>
      </c>
      <c r="S44" s="52">
        <v>2</v>
      </c>
      <c r="T44" s="52">
        <v>1</v>
      </c>
      <c r="U44" s="52">
        <v>0</v>
      </c>
      <c r="V44" s="55">
        <f t="shared" si="7"/>
        <v>11</v>
      </c>
      <c r="W44" s="52">
        <v>142</v>
      </c>
      <c r="X44" s="52">
        <v>28</v>
      </c>
      <c r="Y44" s="52">
        <v>1</v>
      </c>
      <c r="Z44" s="52">
        <v>0</v>
      </c>
      <c r="AA44" s="55">
        <f t="shared" si="9"/>
        <v>171</v>
      </c>
      <c r="AB44" s="52">
        <v>1381</v>
      </c>
      <c r="AC44" s="52">
        <v>597</v>
      </c>
      <c r="AD44" s="52">
        <v>149</v>
      </c>
      <c r="AE44" s="52">
        <v>8</v>
      </c>
      <c r="AF44" s="55">
        <f t="shared" si="11"/>
        <v>2135</v>
      </c>
      <c r="AG44" s="52">
        <v>5804</v>
      </c>
      <c r="AH44" s="52">
        <v>6575</v>
      </c>
      <c r="AI44" s="52">
        <v>6034</v>
      </c>
      <c r="AJ44" s="52">
        <v>4078</v>
      </c>
      <c r="AK44" s="55">
        <f t="shared" si="13"/>
        <v>22491</v>
      </c>
      <c r="AL44" s="56">
        <f t="shared" si="14"/>
        <v>0.18827539195637355</v>
      </c>
      <c r="AM44" s="56">
        <f t="shared" si="15"/>
        <v>8.289364065537351E-2</v>
      </c>
      <c r="AN44" s="56">
        <f t="shared" si="16"/>
        <v>2.4090541632983024E-2</v>
      </c>
      <c r="AO44" s="56">
        <f t="shared" si="17"/>
        <v>1.9579050416054823E-3</v>
      </c>
      <c r="AP44" s="57">
        <f t="shared" si="18"/>
        <v>8.6060948081264105E-2</v>
      </c>
      <c r="AQ44" s="56">
        <f t="shared" si="19"/>
        <v>0.79127471029311525</v>
      </c>
      <c r="AR44" s="56">
        <f t="shared" si="20"/>
        <v>0.91294084976395451</v>
      </c>
      <c r="AS44" s="56">
        <f t="shared" si="21"/>
        <v>0.97558609539207763</v>
      </c>
      <c r="AT44" s="56">
        <f t="shared" si="22"/>
        <v>0.99804209495839447</v>
      </c>
      <c r="AU44" s="57">
        <f t="shared" si="23"/>
        <v>0.90660270880361171</v>
      </c>
      <c r="AV44" s="52">
        <v>6138</v>
      </c>
      <c r="AW44" s="52">
        <v>6725</v>
      </c>
      <c r="AX44" s="52">
        <v>6045</v>
      </c>
      <c r="AY44" s="52">
        <v>4072</v>
      </c>
      <c r="AZ44" s="58">
        <f t="shared" si="25"/>
        <v>22980</v>
      </c>
      <c r="BA44" s="52">
        <v>5157</v>
      </c>
      <c r="BB44" s="52">
        <v>6172</v>
      </c>
      <c r="BC44" s="52">
        <v>5806</v>
      </c>
      <c r="BD44" s="52">
        <v>4036</v>
      </c>
      <c r="BE44" s="59">
        <f t="shared" si="27"/>
        <v>21171</v>
      </c>
      <c r="BF44" s="52">
        <v>3475</v>
      </c>
      <c r="BG44" s="52">
        <v>5500</v>
      </c>
      <c r="BH44" s="52">
        <v>5607</v>
      </c>
      <c r="BI44" s="52">
        <v>3975</v>
      </c>
      <c r="BJ44" s="60">
        <f t="shared" si="29"/>
        <v>18557</v>
      </c>
      <c r="BK44" s="52">
        <v>2075</v>
      </c>
      <c r="BL44" s="52">
        <v>4083</v>
      </c>
      <c r="BM44" s="52">
        <v>4988</v>
      </c>
      <c r="BN44" s="52">
        <v>3816</v>
      </c>
      <c r="BO44" s="55">
        <f t="shared" si="31"/>
        <v>14962</v>
      </c>
      <c r="BP44" s="61"/>
      <c r="BQ44" s="62">
        <f t="shared" si="51"/>
        <v>0.8368098159509203</v>
      </c>
      <c r="BR44" s="62">
        <f t="shared" si="52"/>
        <v>0.93376839766731468</v>
      </c>
      <c r="BS44" s="62">
        <f t="shared" si="53"/>
        <v>0.97736459175424417</v>
      </c>
      <c r="BT44" s="62">
        <f t="shared" si="54"/>
        <v>0.99657366617719045</v>
      </c>
      <c r="BU44" s="63">
        <f t="shared" si="32"/>
        <v>0.9263140922283134</v>
      </c>
      <c r="BV44" s="62">
        <f t="shared" si="33"/>
        <v>0.70306748466257674</v>
      </c>
      <c r="BW44" s="62">
        <f t="shared" si="34"/>
        <v>0.85698417106359348</v>
      </c>
      <c r="BX44" s="62">
        <f t="shared" si="35"/>
        <v>0.93872271624898951</v>
      </c>
      <c r="BY44" s="62">
        <f t="shared" si="36"/>
        <v>0.98776309348996572</v>
      </c>
      <c r="BZ44" s="64">
        <f t="shared" si="37"/>
        <v>0.85339406643018378</v>
      </c>
      <c r="CA44" s="62">
        <f t="shared" si="38"/>
        <v>0.47375596455351054</v>
      </c>
      <c r="CB44" s="62">
        <f t="shared" si="39"/>
        <v>0.76367675645653987</v>
      </c>
      <c r="CC44" s="62">
        <f t="shared" si="40"/>
        <v>0.90654810024252219</v>
      </c>
      <c r="CD44" s="62">
        <f t="shared" si="41"/>
        <v>0.97283406754772395</v>
      </c>
      <c r="CE44" s="65">
        <f t="shared" si="42"/>
        <v>0.74802483069977421</v>
      </c>
      <c r="CF44" s="62">
        <f t="shared" si="43"/>
        <v>0.28289025221540559</v>
      </c>
      <c r="CG44" s="62">
        <f t="shared" si="44"/>
        <v>0.56692585392946404</v>
      </c>
      <c r="CH44" s="62">
        <f t="shared" si="45"/>
        <v>0.80646725949878739</v>
      </c>
      <c r="CI44" s="62">
        <f t="shared" si="46"/>
        <v>0.93392070484581502</v>
      </c>
      <c r="CJ44" s="66">
        <f t="shared" si="47"/>
        <v>0.60311189938729437</v>
      </c>
      <c r="CK44" s="62">
        <f t="shared" si="100"/>
        <v>0.57413087934560325</v>
      </c>
      <c r="CL44" s="62">
        <f t="shared" si="100"/>
        <v>0.78033879477922796</v>
      </c>
      <c r="CM44" s="62">
        <f t="shared" si="100"/>
        <v>0.90727566693613582</v>
      </c>
      <c r="CN44" s="62">
        <f t="shared" si="100"/>
        <v>0.97277288301517384</v>
      </c>
      <c r="CO44" s="67">
        <f t="shared" si="49"/>
        <v>0.78271122218639144</v>
      </c>
      <c r="CP44" s="48"/>
    </row>
    <row r="45" spans="1:94" ht="30.75" customHeight="1" x14ac:dyDescent="0.3">
      <c r="A45" s="49">
        <v>38</v>
      </c>
      <c r="B45" s="50" t="s">
        <v>73</v>
      </c>
      <c r="C45" s="50" t="s">
        <v>81</v>
      </c>
      <c r="D45" s="85">
        <v>46143</v>
      </c>
      <c r="E45" s="52">
        <v>281</v>
      </c>
      <c r="F45" s="52">
        <v>281</v>
      </c>
      <c r="G45" s="53">
        <f t="shared" si="1"/>
        <v>1</v>
      </c>
      <c r="H45" s="52">
        <v>5052</v>
      </c>
      <c r="I45" s="52">
        <v>5080</v>
      </c>
      <c r="J45" s="52">
        <v>4568</v>
      </c>
      <c r="K45" s="52">
        <v>3598</v>
      </c>
      <c r="L45" s="54">
        <f t="shared" si="3"/>
        <v>18298</v>
      </c>
      <c r="M45" s="52">
        <v>5022</v>
      </c>
      <c r="N45" s="52">
        <v>5054</v>
      </c>
      <c r="O45" s="52">
        <v>4545</v>
      </c>
      <c r="P45" s="52">
        <v>3576</v>
      </c>
      <c r="Q45" s="54">
        <f t="shared" si="5"/>
        <v>18197</v>
      </c>
      <c r="R45" s="52">
        <v>73</v>
      </c>
      <c r="S45" s="52">
        <v>33</v>
      </c>
      <c r="T45" s="52">
        <v>7</v>
      </c>
      <c r="U45" s="52">
        <v>1</v>
      </c>
      <c r="V45" s="55">
        <f t="shared" si="7"/>
        <v>114</v>
      </c>
      <c r="W45" s="52">
        <v>218</v>
      </c>
      <c r="X45" s="52">
        <v>62</v>
      </c>
      <c r="Y45" s="52">
        <v>20</v>
      </c>
      <c r="Z45" s="52">
        <v>2</v>
      </c>
      <c r="AA45" s="55">
        <f t="shared" si="9"/>
        <v>302</v>
      </c>
      <c r="AB45" s="52">
        <v>1243</v>
      </c>
      <c r="AC45" s="52">
        <v>585</v>
      </c>
      <c r="AD45" s="52">
        <v>166</v>
      </c>
      <c r="AE45" s="52">
        <v>47</v>
      </c>
      <c r="AF45" s="55">
        <f t="shared" si="11"/>
        <v>2041</v>
      </c>
      <c r="AG45" s="52">
        <v>3488</v>
      </c>
      <c r="AH45" s="52">
        <v>4374</v>
      </c>
      <c r="AI45" s="52">
        <v>4352</v>
      </c>
      <c r="AJ45" s="52">
        <v>3526</v>
      </c>
      <c r="AK45" s="55">
        <f t="shared" si="13"/>
        <v>15740</v>
      </c>
      <c r="AL45" s="56">
        <f t="shared" si="14"/>
        <v>0.24751095181202709</v>
      </c>
      <c r="AM45" s="56">
        <f t="shared" si="15"/>
        <v>0.11574990106846063</v>
      </c>
      <c r="AN45" s="56">
        <f t="shared" si="16"/>
        <v>3.6523652365236525E-2</v>
      </c>
      <c r="AO45" s="56">
        <f t="shared" si="17"/>
        <v>1.3143176733780761E-2</v>
      </c>
      <c r="AP45" s="57">
        <f t="shared" si="18"/>
        <v>0.11216134527669396</v>
      </c>
      <c r="AQ45" s="56">
        <f t="shared" si="19"/>
        <v>0.69454400637196334</v>
      </c>
      <c r="AR45" s="56">
        <f t="shared" si="20"/>
        <v>0.86545310645033635</v>
      </c>
      <c r="AS45" s="56">
        <f t="shared" si="21"/>
        <v>0.95753575357535758</v>
      </c>
      <c r="AT45" s="56">
        <f t="shared" si="22"/>
        <v>0.98601789709172261</v>
      </c>
      <c r="AU45" s="57">
        <f t="shared" si="23"/>
        <v>0.86497774358410728</v>
      </c>
      <c r="AV45" s="52">
        <v>3820</v>
      </c>
      <c r="AW45" s="52">
        <v>4498</v>
      </c>
      <c r="AX45" s="52">
        <v>4350</v>
      </c>
      <c r="AY45" s="52">
        <v>3491</v>
      </c>
      <c r="AZ45" s="58">
        <f t="shared" si="25"/>
        <v>16159</v>
      </c>
      <c r="BA45" s="52">
        <v>3391</v>
      </c>
      <c r="BB45" s="52">
        <v>4128</v>
      </c>
      <c r="BC45" s="52">
        <v>4161</v>
      </c>
      <c r="BD45" s="52">
        <v>3403</v>
      </c>
      <c r="BE45" s="59">
        <f t="shared" si="27"/>
        <v>15083</v>
      </c>
      <c r="BF45" s="52">
        <v>2279</v>
      </c>
      <c r="BG45" s="52">
        <v>3459</v>
      </c>
      <c r="BH45" s="52">
        <v>3803</v>
      </c>
      <c r="BI45" s="52">
        <v>3307</v>
      </c>
      <c r="BJ45" s="60">
        <f t="shared" si="29"/>
        <v>12848</v>
      </c>
      <c r="BK45" s="52">
        <v>1358</v>
      </c>
      <c r="BL45" s="52">
        <v>2470</v>
      </c>
      <c r="BM45" s="52">
        <v>3250</v>
      </c>
      <c r="BN45" s="52">
        <v>3045</v>
      </c>
      <c r="BO45" s="55">
        <f t="shared" si="31"/>
        <v>10123</v>
      </c>
      <c r="BP45" s="61"/>
      <c r="BQ45" s="62">
        <f t="shared" si="51"/>
        <v>0.76065312624452408</v>
      </c>
      <c r="BR45" s="62">
        <f t="shared" si="52"/>
        <v>0.88998812821527507</v>
      </c>
      <c r="BS45" s="62">
        <f t="shared" si="53"/>
        <v>0.95709570957095713</v>
      </c>
      <c r="BT45" s="62">
        <f t="shared" si="54"/>
        <v>0.97623042505592839</v>
      </c>
      <c r="BU45" s="63">
        <f t="shared" si="32"/>
        <v>0.8880035170632522</v>
      </c>
      <c r="BV45" s="62">
        <f t="shared" si="33"/>
        <v>0.67522899243329348</v>
      </c>
      <c r="BW45" s="62">
        <f t="shared" si="34"/>
        <v>0.81677878907795809</v>
      </c>
      <c r="BX45" s="62">
        <f t="shared" si="35"/>
        <v>0.91551155115511551</v>
      </c>
      <c r="BY45" s="62">
        <f t="shared" si="36"/>
        <v>0.95162192393736023</v>
      </c>
      <c r="BZ45" s="64">
        <f t="shared" si="37"/>
        <v>0.82887289113590157</v>
      </c>
      <c r="CA45" s="62">
        <f t="shared" si="38"/>
        <v>0.45380326563122264</v>
      </c>
      <c r="CB45" s="62">
        <f t="shared" si="39"/>
        <v>0.68440838939453896</v>
      </c>
      <c r="CC45" s="62">
        <f t="shared" si="40"/>
        <v>0.8367436743674368</v>
      </c>
      <c r="CD45" s="62">
        <f t="shared" si="41"/>
        <v>0.92477628635346754</v>
      </c>
      <c r="CE45" s="65">
        <f t="shared" si="42"/>
        <v>0.70605044787602356</v>
      </c>
      <c r="CF45" s="62">
        <f t="shared" si="43"/>
        <v>0.27041019514137793</v>
      </c>
      <c r="CG45" s="62">
        <f t="shared" si="44"/>
        <v>0.48872180451127817</v>
      </c>
      <c r="CH45" s="62">
        <f t="shared" si="45"/>
        <v>0.7150715071507151</v>
      </c>
      <c r="CI45" s="62">
        <f t="shared" si="46"/>
        <v>0.85151006711409394</v>
      </c>
      <c r="CJ45" s="66">
        <f t="shared" si="47"/>
        <v>0.55630048909160845</v>
      </c>
      <c r="CK45" s="62">
        <f t="shared" si="100"/>
        <v>0.54002389486260449</v>
      </c>
      <c r="CL45" s="62">
        <f t="shared" si="100"/>
        <v>0.71997427779976253</v>
      </c>
      <c r="CM45" s="62">
        <f t="shared" si="100"/>
        <v>0.85610561056105616</v>
      </c>
      <c r="CN45" s="62">
        <f t="shared" si="100"/>
        <v>0.92603467561521258</v>
      </c>
      <c r="CO45" s="67">
        <f t="shared" si="49"/>
        <v>0.74480683629169642</v>
      </c>
      <c r="CP45" s="48"/>
    </row>
    <row r="46" spans="1:94" ht="30.75" customHeight="1" x14ac:dyDescent="0.3">
      <c r="A46" s="36" t="s">
        <v>82</v>
      </c>
      <c r="B46" s="37"/>
      <c r="C46" s="38"/>
      <c r="D46" s="39"/>
      <c r="E46" s="40">
        <f t="shared" ref="E46:F46" si="112">SUM(E47:E51)</f>
        <v>889</v>
      </c>
      <c r="F46" s="40">
        <f t="shared" si="112"/>
        <v>793</v>
      </c>
      <c r="G46" s="41">
        <f t="shared" si="1"/>
        <v>0.89201349831271093</v>
      </c>
      <c r="H46" s="40">
        <f t="shared" ref="H46:K46" si="113">SUM(H47:H51)</f>
        <v>28856</v>
      </c>
      <c r="I46" s="40">
        <f t="shared" si="113"/>
        <v>24793</v>
      </c>
      <c r="J46" s="40">
        <f t="shared" si="113"/>
        <v>18511</v>
      </c>
      <c r="K46" s="40">
        <f t="shared" si="113"/>
        <v>12705</v>
      </c>
      <c r="L46" s="42">
        <f t="shared" si="3"/>
        <v>84865</v>
      </c>
      <c r="M46" s="40">
        <f t="shared" ref="M46:P46" si="114">SUM(M47:M51)</f>
        <v>27163</v>
      </c>
      <c r="N46" s="40">
        <f t="shared" si="114"/>
        <v>23527</v>
      </c>
      <c r="O46" s="40">
        <f t="shared" si="114"/>
        <v>17219</v>
      </c>
      <c r="P46" s="40">
        <f t="shared" si="114"/>
        <v>12020</v>
      </c>
      <c r="Q46" s="42">
        <f t="shared" si="5"/>
        <v>79929</v>
      </c>
      <c r="R46" s="40">
        <f t="shared" ref="R46:U46" si="115">SUM(R47:R51)</f>
        <v>1874</v>
      </c>
      <c r="S46" s="40">
        <f t="shared" si="115"/>
        <v>260</v>
      </c>
      <c r="T46" s="40">
        <f t="shared" si="115"/>
        <v>52</v>
      </c>
      <c r="U46" s="40">
        <f t="shared" si="115"/>
        <v>0</v>
      </c>
      <c r="V46" s="43">
        <f t="shared" si="7"/>
        <v>2186</v>
      </c>
      <c r="W46" s="40">
        <f t="shared" ref="W46:Z46" si="116">SUM(W47:W51)</f>
        <v>3460</v>
      </c>
      <c r="X46" s="40">
        <f t="shared" si="116"/>
        <v>1243</v>
      </c>
      <c r="Y46" s="40">
        <f t="shared" si="116"/>
        <v>203</v>
      </c>
      <c r="Z46" s="40">
        <f t="shared" si="116"/>
        <v>42</v>
      </c>
      <c r="AA46" s="43">
        <f t="shared" si="9"/>
        <v>4948</v>
      </c>
      <c r="AB46" s="40">
        <f t="shared" ref="AB46:AE46" si="117">SUM(AB47:AB51)</f>
        <v>6782</v>
      </c>
      <c r="AC46" s="40">
        <f t="shared" si="117"/>
        <v>4227</v>
      </c>
      <c r="AD46" s="40">
        <f t="shared" si="117"/>
        <v>1303</v>
      </c>
      <c r="AE46" s="40">
        <f t="shared" si="117"/>
        <v>275</v>
      </c>
      <c r="AF46" s="43">
        <f t="shared" si="11"/>
        <v>12587</v>
      </c>
      <c r="AG46" s="40">
        <f t="shared" ref="AG46:AJ46" si="118">SUM(AG47:AG51)</f>
        <v>15047</v>
      </c>
      <c r="AH46" s="40">
        <f t="shared" si="118"/>
        <v>17797</v>
      </c>
      <c r="AI46" s="40">
        <f t="shared" si="118"/>
        <v>15661</v>
      </c>
      <c r="AJ46" s="40">
        <f t="shared" si="118"/>
        <v>11703</v>
      </c>
      <c r="AK46" s="43">
        <f t="shared" si="13"/>
        <v>60208</v>
      </c>
      <c r="AL46" s="44">
        <f t="shared" si="14"/>
        <v>0.24967787063284616</v>
      </c>
      <c r="AM46" s="44">
        <f t="shared" si="15"/>
        <v>0.17966591575636504</v>
      </c>
      <c r="AN46" s="44">
        <f t="shared" si="16"/>
        <v>7.5672222544863235E-2</v>
      </c>
      <c r="AO46" s="44">
        <f t="shared" si="17"/>
        <v>2.2878535773710483E-2</v>
      </c>
      <c r="AP46" s="44">
        <f t="shared" si="18"/>
        <v>0.1574772610691989</v>
      </c>
      <c r="AQ46" s="44">
        <f t="shared" si="19"/>
        <v>0.55395206715016754</v>
      </c>
      <c r="AR46" s="44">
        <f t="shared" si="20"/>
        <v>0.75645003612870321</v>
      </c>
      <c r="AS46" s="44">
        <f t="shared" si="21"/>
        <v>0.90951855508449964</v>
      </c>
      <c r="AT46" s="44">
        <f t="shared" si="22"/>
        <v>0.97362728785357733</v>
      </c>
      <c r="AU46" s="44">
        <f t="shared" si="23"/>
        <v>0.75326852581666226</v>
      </c>
      <c r="AV46" s="40">
        <f t="shared" ref="AV46:AY46" si="119">SUM(AV47:AV51)</f>
        <v>18613</v>
      </c>
      <c r="AW46" s="40">
        <f t="shared" si="119"/>
        <v>21260</v>
      </c>
      <c r="AX46" s="40">
        <f t="shared" si="119"/>
        <v>16282</v>
      </c>
      <c r="AY46" s="40">
        <f t="shared" si="119"/>
        <v>11685</v>
      </c>
      <c r="AZ46" s="43">
        <f t="shared" si="25"/>
        <v>67840</v>
      </c>
      <c r="BA46" s="40">
        <f t="shared" ref="BA46:BD46" si="120">SUM(BA47:BA51)</f>
        <v>16634</v>
      </c>
      <c r="BB46" s="40">
        <f t="shared" si="120"/>
        <v>17146</v>
      </c>
      <c r="BC46" s="40">
        <f t="shared" si="120"/>
        <v>13982</v>
      </c>
      <c r="BD46" s="40">
        <f t="shared" si="120"/>
        <v>10451</v>
      </c>
      <c r="BE46" s="43">
        <f t="shared" si="27"/>
        <v>58213</v>
      </c>
      <c r="BF46" s="40">
        <f t="shared" ref="BF46:BI46" si="121">SUM(BF47:BF51)</f>
        <v>13620</v>
      </c>
      <c r="BG46" s="40">
        <f t="shared" si="121"/>
        <v>14967</v>
      </c>
      <c r="BH46" s="40">
        <f t="shared" si="121"/>
        <v>12446</v>
      </c>
      <c r="BI46" s="40">
        <f t="shared" si="121"/>
        <v>9897</v>
      </c>
      <c r="BJ46" s="43">
        <f t="shared" si="29"/>
        <v>50930</v>
      </c>
      <c r="BK46" s="40">
        <f t="shared" ref="BK46:BN46" si="122">SUM(BK47:BK51)</f>
        <v>10076</v>
      </c>
      <c r="BL46" s="40">
        <f t="shared" si="122"/>
        <v>11775</v>
      </c>
      <c r="BM46" s="40">
        <f t="shared" si="122"/>
        <v>10062</v>
      </c>
      <c r="BN46" s="40">
        <f t="shared" si="122"/>
        <v>8540</v>
      </c>
      <c r="BO46" s="43">
        <f t="shared" si="31"/>
        <v>40453</v>
      </c>
      <c r="BP46" s="45"/>
      <c r="BQ46" s="46">
        <f t="shared" si="51"/>
        <v>0.68523358980966753</v>
      </c>
      <c r="BR46" s="46">
        <f t="shared" si="52"/>
        <v>0.90364262336889534</v>
      </c>
      <c r="BS46" s="46">
        <f t="shared" si="53"/>
        <v>0.9455833672106394</v>
      </c>
      <c r="BT46" s="46">
        <f t="shared" si="54"/>
        <v>0.97212978369384362</v>
      </c>
      <c r="BU46" s="46">
        <f t="shared" si="32"/>
        <v>0.84875326852581667</v>
      </c>
      <c r="BV46" s="46">
        <f t="shared" si="33"/>
        <v>0.61237713065567134</v>
      </c>
      <c r="BW46" s="46">
        <f t="shared" si="34"/>
        <v>0.72877969991924174</v>
      </c>
      <c r="BX46" s="46">
        <f t="shared" si="35"/>
        <v>0.81200998896567744</v>
      </c>
      <c r="BY46" s="46">
        <f t="shared" si="36"/>
        <v>0.86946755407653908</v>
      </c>
      <c r="BZ46" s="47">
        <f t="shared" si="37"/>
        <v>0.7283088741257866</v>
      </c>
      <c r="CA46" s="46">
        <f t="shared" si="38"/>
        <v>0.50141736921547697</v>
      </c>
      <c r="CB46" s="46">
        <f t="shared" si="39"/>
        <v>0.63616270667743446</v>
      </c>
      <c r="CC46" s="46">
        <f t="shared" si="40"/>
        <v>0.72280620245078109</v>
      </c>
      <c r="CD46" s="46">
        <f t="shared" si="41"/>
        <v>0.82337770382695508</v>
      </c>
      <c r="CE46" s="47">
        <f t="shared" si="42"/>
        <v>0.63719050657458498</v>
      </c>
      <c r="CF46" s="46">
        <f t="shared" si="43"/>
        <v>0.3709457718219637</v>
      </c>
      <c r="CG46" s="46">
        <f t="shared" si="44"/>
        <v>0.50048880010201047</v>
      </c>
      <c r="CH46" s="46">
        <f t="shared" si="45"/>
        <v>0.58435449213078572</v>
      </c>
      <c r="CI46" s="46">
        <f t="shared" si="46"/>
        <v>0.71048252911813647</v>
      </c>
      <c r="CJ46" s="47">
        <f t="shared" si="47"/>
        <v>0.50611167411077329</v>
      </c>
      <c r="CK46" s="46">
        <f t="shared" si="100"/>
        <v>0.54249346537569487</v>
      </c>
      <c r="CL46" s="46">
        <f t="shared" si="100"/>
        <v>0.69226845751689559</v>
      </c>
      <c r="CM46" s="46">
        <f t="shared" si="100"/>
        <v>0.76618851268947086</v>
      </c>
      <c r="CN46" s="46">
        <f t="shared" si="100"/>
        <v>0.84386439267886848</v>
      </c>
      <c r="CO46" s="47">
        <f t="shared" si="49"/>
        <v>0.6800910808342403</v>
      </c>
      <c r="CP46" s="48"/>
    </row>
    <row r="47" spans="1:94" ht="30.75" customHeight="1" x14ac:dyDescent="0.3">
      <c r="A47" s="49">
        <v>34</v>
      </c>
      <c r="B47" s="50" t="s">
        <v>83</v>
      </c>
      <c r="C47" s="50" t="s">
        <v>84</v>
      </c>
      <c r="D47" s="51">
        <v>46143</v>
      </c>
      <c r="E47" s="52">
        <v>18</v>
      </c>
      <c r="F47" s="52">
        <v>18</v>
      </c>
      <c r="G47" s="53">
        <f t="shared" si="1"/>
        <v>1</v>
      </c>
      <c r="H47" s="52">
        <v>1241</v>
      </c>
      <c r="I47" s="52">
        <v>1140</v>
      </c>
      <c r="J47" s="52">
        <v>973</v>
      </c>
      <c r="K47" s="52">
        <v>772</v>
      </c>
      <c r="L47" s="54">
        <f t="shared" si="3"/>
        <v>4126</v>
      </c>
      <c r="M47" s="52">
        <v>1198</v>
      </c>
      <c r="N47" s="52">
        <v>1106</v>
      </c>
      <c r="O47" s="52">
        <v>938</v>
      </c>
      <c r="P47" s="52">
        <v>760</v>
      </c>
      <c r="Q47" s="54">
        <f t="shared" si="5"/>
        <v>4002</v>
      </c>
      <c r="R47" s="52">
        <v>14</v>
      </c>
      <c r="S47" s="52">
        <v>2</v>
      </c>
      <c r="T47" s="52">
        <v>0</v>
      </c>
      <c r="U47" s="52">
        <v>0</v>
      </c>
      <c r="V47" s="55">
        <f t="shared" si="7"/>
        <v>16</v>
      </c>
      <c r="W47" s="52">
        <v>35</v>
      </c>
      <c r="X47" s="52">
        <v>13</v>
      </c>
      <c r="Y47" s="52">
        <v>5</v>
      </c>
      <c r="Z47" s="52">
        <v>6</v>
      </c>
      <c r="AA47" s="55">
        <f t="shared" si="9"/>
        <v>59</v>
      </c>
      <c r="AB47" s="52">
        <v>129</v>
      </c>
      <c r="AC47" s="52">
        <v>55</v>
      </c>
      <c r="AD47" s="52">
        <v>20</v>
      </c>
      <c r="AE47" s="52">
        <v>18</v>
      </c>
      <c r="AF47" s="55">
        <f t="shared" si="11"/>
        <v>222</v>
      </c>
      <c r="AG47" s="52">
        <v>1020</v>
      </c>
      <c r="AH47" s="52">
        <v>1036</v>
      </c>
      <c r="AI47" s="52">
        <v>913</v>
      </c>
      <c r="AJ47" s="52">
        <v>736</v>
      </c>
      <c r="AK47" s="55">
        <f t="shared" si="13"/>
        <v>3705</v>
      </c>
      <c r="AL47" s="56">
        <f t="shared" si="14"/>
        <v>0.10767946577629382</v>
      </c>
      <c r="AM47" s="56">
        <f t="shared" si="15"/>
        <v>4.9728752260397829E-2</v>
      </c>
      <c r="AN47" s="56">
        <f t="shared" si="16"/>
        <v>2.1321961620469083E-2</v>
      </c>
      <c r="AO47" s="56">
        <f t="shared" si="17"/>
        <v>2.368421052631579E-2</v>
      </c>
      <c r="AP47" s="57">
        <f t="shared" si="18"/>
        <v>5.5472263868065967E-2</v>
      </c>
      <c r="AQ47" s="56">
        <f t="shared" si="19"/>
        <v>0.85141903171953259</v>
      </c>
      <c r="AR47" s="56">
        <f t="shared" si="20"/>
        <v>0.93670886075949367</v>
      </c>
      <c r="AS47" s="56">
        <f t="shared" si="21"/>
        <v>0.9733475479744137</v>
      </c>
      <c r="AT47" s="56">
        <f t="shared" si="22"/>
        <v>0.96842105263157896</v>
      </c>
      <c r="AU47" s="57">
        <f t="shared" si="23"/>
        <v>0.92578710644677664</v>
      </c>
      <c r="AV47" s="52">
        <v>1152</v>
      </c>
      <c r="AW47" s="52">
        <v>1072</v>
      </c>
      <c r="AX47" s="52">
        <v>921</v>
      </c>
      <c r="AY47" s="52">
        <v>757</v>
      </c>
      <c r="AZ47" s="58">
        <f t="shared" si="25"/>
        <v>3902</v>
      </c>
      <c r="BA47" s="52">
        <v>1090</v>
      </c>
      <c r="BB47" s="52">
        <v>1019</v>
      </c>
      <c r="BC47" s="52">
        <v>880</v>
      </c>
      <c r="BD47" s="52">
        <v>745</v>
      </c>
      <c r="BE47" s="59">
        <f t="shared" si="27"/>
        <v>3734</v>
      </c>
      <c r="BF47" s="52">
        <v>1007</v>
      </c>
      <c r="BG47" s="52">
        <v>944</v>
      </c>
      <c r="BH47" s="52">
        <v>841</v>
      </c>
      <c r="BI47" s="52">
        <v>717</v>
      </c>
      <c r="BJ47" s="60">
        <f t="shared" si="29"/>
        <v>3509</v>
      </c>
      <c r="BK47" s="52">
        <v>837</v>
      </c>
      <c r="BL47" s="52">
        <v>848</v>
      </c>
      <c r="BM47" s="52">
        <v>730</v>
      </c>
      <c r="BN47" s="52">
        <v>633</v>
      </c>
      <c r="BO47" s="55">
        <f t="shared" si="31"/>
        <v>3048</v>
      </c>
      <c r="BP47" s="61"/>
      <c r="BQ47" s="62">
        <f t="shared" si="51"/>
        <v>0.96160267111853093</v>
      </c>
      <c r="BR47" s="62">
        <f t="shared" si="52"/>
        <v>0.96925858951175403</v>
      </c>
      <c r="BS47" s="62">
        <f t="shared" si="53"/>
        <v>0.98187633262260132</v>
      </c>
      <c r="BT47" s="62">
        <f t="shared" si="54"/>
        <v>0.99605263157894741</v>
      </c>
      <c r="BU47" s="63">
        <f t="shared" si="32"/>
        <v>0.97501249375312349</v>
      </c>
      <c r="BV47" s="62">
        <f t="shared" si="33"/>
        <v>0.90984974958263776</v>
      </c>
      <c r="BW47" s="62">
        <f t="shared" si="34"/>
        <v>0.92133815551537068</v>
      </c>
      <c r="BX47" s="62">
        <f t="shared" si="35"/>
        <v>0.93816631130063965</v>
      </c>
      <c r="BY47" s="62">
        <f t="shared" si="36"/>
        <v>0.98026315789473684</v>
      </c>
      <c r="BZ47" s="64">
        <f t="shared" si="37"/>
        <v>0.93303348325837077</v>
      </c>
      <c r="CA47" s="62">
        <f t="shared" si="38"/>
        <v>0.84056761268781299</v>
      </c>
      <c r="CB47" s="62">
        <f t="shared" si="39"/>
        <v>0.85352622061482819</v>
      </c>
      <c r="CC47" s="62">
        <f t="shared" si="40"/>
        <v>0.89658848614072495</v>
      </c>
      <c r="CD47" s="62">
        <f t="shared" si="41"/>
        <v>0.94342105263157894</v>
      </c>
      <c r="CE47" s="65">
        <f t="shared" si="42"/>
        <v>0.87681159420289856</v>
      </c>
      <c r="CF47" s="62">
        <f t="shared" si="43"/>
        <v>0.69866444073455758</v>
      </c>
      <c r="CG47" s="62">
        <f t="shared" si="44"/>
        <v>0.76672694394213381</v>
      </c>
      <c r="CH47" s="62">
        <f t="shared" si="45"/>
        <v>0.7782515991471215</v>
      </c>
      <c r="CI47" s="62">
        <f t="shared" si="46"/>
        <v>0.83289473684210524</v>
      </c>
      <c r="CJ47" s="66">
        <f t="shared" si="47"/>
        <v>0.76161919040479764</v>
      </c>
      <c r="CK47" s="62">
        <f t="shared" si="100"/>
        <v>0.85267111853088484</v>
      </c>
      <c r="CL47" s="62">
        <f t="shared" si="100"/>
        <v>0.87771247739602165</v>
      </c>
      <c r="CM47" s="62">
        <f t="shared" si="100"/>
        <v>0.8987206823027718</v>
      </c>
      <c r="CN47" s="62">
        <f t="shared" si="100"/>
        <v>0.93815789473684208</v>
      </c>
      <c r="CO47" s="67">
        <f t="shared" si="49"/>
        <v>0.88661919040479753</v>
      </c>
      <c r="CP47" s="48"/>
    </row>
    <row r="48" spans="1:94" ht="30.75" customHeight="1" x14ac:dyDescent="0.3">
      <c r="A48" s="49">
        <v>35</v>
      </c>
      <c r="B48" s="50" t="s">
        <v>83</v>
      </c>
      <c r="C48" s="50" t="s">
        <v>85</v>
      </c>
      <c r="D48" s="51">
        <v>46143</v>
      </c>
      <c r="E48" s="52">
        <v>253</v>
      </c>
      <c r="F48" s="52">
        <v>183</v>
      </c>
      <c r="G48" s="53">
        <f t="shared" si="1"/>
        <v>0.72332015810276684</v>
      </c>
      <c r="H48" s="52">
        <v>4696</v>
      </c>
      <c r="I48" s="52">
        <v>3934</v>
      </c>
      <c r="J48" s="52">
        <v>2615</v>
      </c>
      <c r="K48" s="52">
        <v>1719</v>
      </c>
      <c r="L48" s="54">
        <f t="shared" si="3"/>
        <v>12964</v>
      </c>
      <c r="M48" s="52">
        <v>4455</v>
      </c>
      <c r="N48" s="52">
        <v>3749</v>
      </c>
      <c r="O48" s="52">
        <v>2499</v>
      </c>
      <c r="P48" s="52">
        <v>1679</v>
      </c>
      <c r="Q48" s="54">
        <f t="shared" si="5"/>
        <v>12382</v>
      </c>
      <c r="R48" s="52">
        <v>4</v>
      </c>
      <c r="S48" s="52">
        <v>0</v>
      </c>
      <c r="T48" s="52">
        <v>0</v>
      </c>
      <c r="U48" s="52">
        <v>0</v>
      </c>
      <c r="V48" s="55">
        <f t="shared" si="7"/>
        <v>4</v>
      </c>
      <c r="W48" s="52">
        <v>141</v>
      </c>
      <c r="X48" s="52">
        <v>20</v>
      </c>
      <c r="Y48" s="52">
        <v>5</v>
      </c>
      <c r="Z48" s="52">
        <v>0</v>
      </c>
      <c r="AA48" s="55">
        <f t="shared" si="9"/>
        <v>166</v>
      </c>
      <c r="AB48" s="52">
        <v>840</v>
      </c>
      <c r="AC48" s="52">
        <v>350</v>
      </c>
      <c r="AD48" s="52">
        <v>95</v>
      </c>
      <c r="AE48" s="52">
        <v>10</v>
      </c>
      <c r="AF48" s="55">
        <f t="shared" si="11"/>
        <v>1295</v>
      </c>
      <c r="AG48" s="52">
        <v>3470</v>
      </c>
      <c r="AH48" s="52">
        <v>3379</v>
      </c>
      <c r="AI48" s="52">
        <v>2399</v>
      </c>
      <c r="AJ48" s="52">
        <v>1669</v>
      </c>
      <c r="AK48" s="55">
        <f t="shared" si="13"/>
        <v>10917</v>
      </c>
      <c r="AL48" s="56">
        <f t="shared" si="14"/>
        <v>0.18855218855218855</v>
      </c>
      <c r="AM48" s="56">
        <f t="shared" si="15"/>
        <v>9.335822886102961E-2</v>
      </c>
      <c r="AN48" s="56">
        <f t="shared" si="16"/>
        <v>3.8015206082432973E-2</v>
      </c>
      <c r="AO48" s="56">
        <f t="shared" si="17"/>
        <v>5.9559261465157833E-3</v>
      </c>
      <c r="AP48" s="57">
        <f t="shared" si="18"/>
        <v>0.10458730415118721</v>
      </c>
      <c r="AQ48" s="56">
        <f t="shared" si="19"/>
        <v>0.77890011223344557</v>
      </c>
      <c r="AR48" s="56">
        <f t="shared" si="20"/>
        <v>0.90130701520405443</v>
      </c>
      <c r="AS48" s="56">
        <f t="shared" si="21"/>
        <v>0.95998399359743902</v>
      </c>
      <c r="AT48" s="56">
        <f t="shared" si="22"/>
        <v>0.99404407385348426</v>
      </c>
      <c r="AU48" s="57">
        <f t="shared" si="23"/>
        <v>0.88168308835406239</v>
      </c>
      <c r="AV48" s="52">
        <v>3571</v>
      </c>
      <c r="AW48" s="52">
        <v>3215</v>
      </c>
      <c r="AX48" s="52">
        <v>2295</v>
      </c>
      <c r="AY48" s="52">
        <v>1605</v>
      </c>
      <c r="AZ48" s="58">
        <f t="shared" si="25"/>
        <v>10686</v>
      </c>
      <c r="BA48" s="52">
        <v>3343</v>
      </c>
      <c r="BB48" s="52">
        <v>2891</v>
      </c>
      <c r="BC48" s="52">
        <v>2123</v>
      </c>
      <c r="BD48" s="52">
        <v>1425</v>
      </c>
      <c r="BE48" s="59">
        <f t="shared" si="27"/>
        <v>9782</v>
      </c>
      <c r="BF48" s="52">
        <v>2778</v>
      </c>
      <c r="BG48" s="52">
        <v>2677</v>
      </c>
      <c r="BH48" s="52">
        <v>2046</v>
      </c>
      <c r="BI48" s="52">
        <v>1521</v>
      </c>
      <c r="BJ48" s="60">
        <f t="shared" si="29"/>
        <v>9022</v>
      </c>
      <c r="BK48" s="52">
        <v>2390</v>
      </c>
      <c r="BL48" s="52">
        <v>2262</v>
      </c>
      <c r="BM48" s="52">
        <v>1807</v>
      </c>
      <c r="BN48" s="52">
        <v>1288</v>
      </c>
      <c r="BO48" s="55">
        <f t="shared" si="31"/>
        <v>7747</v>
      </c>
      <c r="BP48" s="61"/>
      <c r="BQ48" s="62">
        <f t="shared" si="51"/>
        <v>0.8015712682379349</v>
      </c>
      <c r="BR48" s="62">
        <f t="shared" si="52"/>
        <v>0.85756201653774344</v>
      </c>
      <c r="BS48" s="62">
        <f t="shared" si="53"/>
        <v>0.91836734693877553</v>
      </c>
      <c r="BT48" s="62">
        <f t="shared" si="54"/>
        <v>0.95592614651578323</v>
      </c>
      <c r="BU48" s="63">
        <f t="shared" si="32"/>
        <v>0.86302697464060729</v>
      </c>
      <c r="BV48" s="62">
        <f t="shared" si="33"/>
        <v>0.75039281705948369</v>
      </c>
      <c r="BW48" s="62">
        <f t="shared" si="34"/>
        <v>0.77113897039210455</v>
      </c>
      <c r="BX48" s="62">
        <f t="shared" si="35"/>
        <v>0.84953981592637051</v>
      </c>
      <c r="BY48" s="62">
        <f t="shared" si="36"/>
        <v>0.84871947587849905</v>
      </c>
      <c r="BZ48" s="64">
        <f t="shared" si="37"/>
        <v>0.79001776772734611</v>
      </c>
      <c r="CA48" s="62">
        <f t="shared" si="38"/>
        <v>0.62356902356902355</v>
      </c>
      <c r="CB48" s="62">
        <f t="shared" si="39"/>
        <v>0.71405708188850359</v>
      </c>
      <c r="CC48" s="62">
        <f t="shared" si="40"/>
        <v>0.81872749099639852</v>
      </c>
      <c r="CD48" s="62">
        <f t="shared" si="41"/>
        <v>0.9058963668850506</v>
      </c>
      <c r="CE48" s="65">
        <f t="shared" si="42"/>
        <v>0.72863834598610888</v>
      </c>
      <c r="CF48" s="62">
        <f t="shared" si="43"/>
        <v>0.53647586980920314</v>
      </c>
      <c r="CG48" s="62">
        <f t="shared" si="44"/>
        <v>0.60336089623899702</v>
      </c>
      <c r="CH48" s="62">
        <f t="shared" si="45"/>
        <v>0.72308923569427774</v>
      </c>
      <c r="CI48" s="62">
        <f t="shared" si="46"/>
        <v>0.76712328767123283</v>
      </c>
      <c r="CJ48" s="66">
        <f t="shared" si="47"/>
        <v>0.62566628977548056</v>
      </c>
      <c r="CK48" s="62">
        <f t="shared" si="100"/>
        <v>0.67800224466891135</v>
      </c>
      <c r="CL48" s="62">
        <f t="shared" si="100"/>
        <v>0.73652974126433712</v>
      </c>
      <c r="CM48" s="62">
        <f t="shared" si="100"/>
        <v>0.82743097238895558</v>
      </c>
      <c r="CN48" s="62">
        <f t="shared" si="100"/>
        <v>0.8694163192376414</v>
      </c>
      <c r="CO48" s="67">
        <f t="shared" si="49"/>
        <v>0.75183734453238571</v>
      </c>
      <c r="CP48" s="48"/>
    </row>
    <row r="49" spans="1:94" ht="30.75" customHeight="1" x14ac:dyDescent="0.3">
      <c r="A49" s="49">
        <v>36</v>
      </c>
      <c r="B49" s="50" t="s">
        <v>83</v>
      </c>
      <c r="C49" s="50" t="s">
        <v>86</v>
      </c>
      <c r="D49" s="51">
        <v>46143</v>
      </c>
      <c r="E49" s="52">
        <v>52</v>
      </c>
      <c r="F49" s="52">
        <v>48</v>
      </c>
      <c r="G49" s="53">
        <f t="shared" si="1"/>
        <v>0.92307692307692313</v>
      </c>
      <c r="H49" s="52">
        <v>2499</v>
      </c>
      <c r="I49" s="52">
        <v>2574</v>
      </c>
      <c r="J49" s="52">
        <v>2022</v>
      </c>
      <c r="K49" s="52">
        <v>1363</v>
      </c>
      <c r="L49" s="54">
        <f t="shared" si="3"/>
        <v>8458</v>
      </c>
      <c r="M49" s="52">
        <v>2475</v>
      </c>
      <c r="N49" s="52">
        <v>2520</v>
      </c>
      <c r="O49" s="52">
        <v>2001</v>
      </c>
      <c r="P49" s="52">
        <v>1348</v>
      </c>
      <c r="Q49" s="54">
        <f t="shared" si="5"/>
        <v>8344</v>
      </c>
      <c r="R49" s="52">
        <v>44</v>
      </c>
      <c r="S49" s="52">
        <v>2</v>
      </c>
      <c r="T49" s="52">
        <v>0</v>
      </c>
      <c r="U49" s="52">
        <v>0</v>
      </c>
      <c r="V49" s="55">
        <f t="shared" si="7"/>
        <v>46</v>
      </c>
      <c r="W49" s="52">
        <v>167</v>
      </c>
      <c r="X49" s="52">
        <v>62</v>
      </c>
      <c r="Y49" s="52">
        <v>17</v>
      </c>
      <c r="Z49" s="52">
        <v>2</v>
      </c>
      <c r="AA49" s="55">
        <f t="shared" si="9"/>
        <v>248</v>
      </c>
      <c r="AB49" s="52">
        <v>429</v>
      </c>
      <c r="AC49" s="52">
        <v>196</v>
      </c>
      <c r="AD49" s="52">
        <v>127</v>
      </c>
      <c r="AE49" s="52">
        <v>20</v>
      </c>
      <c r="AF49" s="55">
        <f t="shared" si="11"/>
        <v>772</v>
      </c>
      <c r="AG49" s="52">
        <v>1835</v>
      </c>
      <c r="AH49" s="52">
        <v>2260</v>
      </c>
      <c r="AI49" s="52">
        <v>1857</v>
      </c>
      <c r="AJ49" s="52">
        <v>1326</v>
      </c>
      <c r="AK49" s="55">
        <f t="shared" si="13"/>
        <v>7278</v>
      </c>
      <c r="AL49" s="56">
        <f t="shared" si="14"/>
        <v>0.17333333333333334</v>
      </c>
      <c r="AM49" s="56">
        <f t="shared" si="15"/>
        <v>7.7777777777777779E-2</v>
      </c>
      <c r="AN49" s="56">
        <f t="shared" si="16"/>
        <v>6.346826586706647E-2</v>
      </c>
      <c r="AO49" s="56">
        <f t="shared" si="17"/>
        <v>1.483679525222552E-2</v>
      </c>
      <c r="AP49" s="57">
        <f t="shared" si="18"/>
        <v>9.2521572387344195E-2</v>
      </c>
      <c r="AQ49" s="56">
        <f t="shared" si="19"/>
        <v>0.74141414141414141</v>
      </c>
      <c r="AR49" s="56">
        <f t="shared" si="20"/>
        <v>0.89682539682539686</v>
      </c>
      <c r="AS49" s="56">
        <f t="shared" si="21"/>
        <v>0.92803598200899551</v>
      </c>
      <c r="AT49" s="56">
        <f t="shared" si="22"/>
        <v>0.98367952522255198</v>
      </c>
      <c r="AU49" s="57">
        <f t="shared" si="23"/>
        <v>0.8722435282837967</v>
      </c>
      <c r="AV49" s="52">
        <v>1918</v>
      </c>
      <c r="AW49" s="52">
        <v>2215</v>
      </c>
      <c r="AX49" s="52">
        <v>1918</v>
      </c>
      <c r="AY49" s="52">
        <v>1310</v>
      </c>
      <c r="AZ49" s="58">
        <f t="shared" si="25"/>
        <v>7361</v>
      </c>
      <c r="BA49" s="52">
        <v>1730</v>
      </c>
      <c r="BB49" s="52">
        <v>2106</v>
      </c>
      <c r="BC49" s="52">
        <v>1869</v>
      </c>
      <c r="BD49" s="52">
        <v>1293</v>
      </c>
      <c r="BE49" s="59">
        <f t="shared" si="27"/>
        <v>6998</v>
      </c>
      <c r="BF49" s="52">
        <v>1516</v>
      </c>
      <c r="BG49" s="52">
        <v>1910</v>
      </c>
      <c r="BH49" s="52">
        <v>1730</v>
      </c>
      <c r="BI49" s="52">
        <v>1256</v>
      </c>
      <c r="BJ49" s="60">
        <f t="shared" si="29"/>
        <v>6412</v>
      </c>
      <c r="BK49" s="52">
        <v>1090</v>
      </c>
      <c r="BL49" s="52">
        <v>1602</v>
      </c>
      <c r="BM49" s="52">
        <v>1555</v>
      </c>
      <c r="BN49" s="52">
        <v>1197</v>
      </c>
      <c r="BO49" s="55">
        <f t="shared" si="31"/>
        <v>5444</v>
      </c>
      <c r="BP49" s="61"/>
      <c r="BQ49" s="62">
        <f t="shared" si="51"/>
        <v>0.77494949494949494</v>
      </c>
      <c r="BR49" s="62">
        <f t="shared" si="52"/>
        <v>0.87896825396825395</v>
      </c>
      <c r="BS49" s="62">
        <f t="shared" si="53"/>
        <v>0.95852073963018491</v>
      </c>
      <c r="BT49" s="62">
        <f t="shared" si="54"/>
        <v>0.97181008902077148</v>
      </c>
      <c r="BU49" s="63">
        <f t="shared" si="32"/>
        <v>0.88219079578139981</v>
      </c>
      <c r="BV49" s="62">
        <f t="shared" si="33"/>
        <v>0.69898989898989894</v>
      </c>
      <c r="BW49" s="62">
        <f t="shared" si="34"/>
        <v>0.83571428571428574</v>
      </c>
      <c r="BX49" s="62">
        <f t="shared" si="35"/>
        <v>0.93403298350824593</v>
      </c>
      <c r="BY49" s="62">
        <f t="shared" si="36"/>
        <v>0.95919881305637977</v>
      </c>
      <c r="BZ49" s="64">
        <f t="shared" si="37"/>
        <v>0.83868648130393098</v>
      </c>
      <c r="CA49" s="62">
        <f t="shared" si="38"/>
        <v>0.61252525252525247</v>
      </c>
      <c r="CB49" s="62">
        <f t="shared" si="39"/>
        <v>0.75793650793650791</v>
      </c>
      <c r="CC49" s="62">
        <f t="shared" si="40"/>
        <v>0.86456771614192907</v>
      </c>
      <c r="CD49" s="62">
        <f t="shared" si="41"/>
        <v>0.93175074183976259</v>
      </c>
      <c r="CE49" s="65">
        <f t="shared" si="42"/>
        <v>0.76845637583892612</v>
      </c>
      <c r="CF49" s="62">
        <f t="shared" si="43"/>
        <v>0.44040404040404041</v>
      </c>
      <c r="CG49" s="62">
        <f t="shared" si="44"/>
        <v>0.63571428571428568</v>
      </c>
      <c r="CH49" s="62">
        <f t="shared" si="45"/>
        <v>0.77711144427786105</v>
      </c>
      <c r="CI49" s="62">
        <f t="shared" si="46"/>
        <v>0.88798219584569738</v>
      </c>
      <c r="CJ49" s="66">
        <f t="shared" si="47"/>
        <v>0.65244487056567591</v>
      </c>
      <c r="CK49" s="62">
        <f t="shared" si="100"/>
        <v>0.63171717171717179</v>
      </c>
      <c r="CL49" s="62">
        <f t="shared" si="100"/>
        <v>0.77708333333333335</v>
      </c>
      <c r="CM49" s="62">
        <f t="shared" si="100"/>
        <v>0.88355822088955516</v>
      </c>
      <c r="CN49" s="62">
        <f t="shared" si="100"/>
        <v>0.93768545994065289</v>
      </c>
      <c r="CO49" s="67">
        <f t="shared" si="49"/>
        <v>0.78544463087248328</v>
      </c>
      <c r="CP49" s="48"/>
    </row>
    <row r="50" spans="1:94" ht="30.75" customHeight="1" x14ac:dyDescent="0.3">
      <c r="A50" s="49">
        <v>37</v>
      </c>
      <c r="B50" s="50" t="s">
        <v>83</v>
      </c>
      <c r="C50" s="50" t="s">
        <v>87</v>
      </c>
      <c r="D50" s="51">
        <v>46143</v>
      </c>
      <c r="E50" s="52">
        <v>288</v>
      </c>
      <c r="F50" s="52">
        <v>286</v>
      </c>
      <c r="G50" s="53">
        <f t="shared" si="1"/>
        <v>0.99305555555555558</v>
      </c>
      <c r="H50" s="52">
        <v>9650</v>
      </c>
      <c r="I50" s="52">
        <v>8247</v>
      </c>
      <c r="J50" s="52">
        <v>6753</v>
      </c>
      <c r="K50" s="52">
        <v>4470</v>
      </c>
      <c r="L50" s="54">
        <f t="shared" si="3"/>
        <v>29120</v>
      </c>
      <c r="M50" s="52">
        <v>8938</v>
      </c>
      <c r="N50" s="52">
        <v>7701</v>
      </c>
      <c r="O50" s="52">
        <v>5819</v>
      </c>
      <c r="P50" s="52">
        <v>3968</v>
      </c>
      <c r="Q50" s="54">
        <f t="shared" si="5"/>
        <v>26426</v>
      </c>
      <c r="R50" s="52">
        <v>1399</v>
      </c>
      <c r="S50" s="52">
        <v>186</v>
      </c>
      <c r="T50" s="52">
        <v>34</v>
      </c>
      <c r="U50" s="52">
        <v>0</v>
      </c>
      <c r="V50" s="55">
        <f t="shared" si="7"/>
        <v>1619</v>
      </c>
      <c r="W50" s="52">
        <v>2004</v>
      </c>
      <c r="X50" s="52">
        <v>708</v>
      </c>
      <c r="Y50" s="52">
        <v>93</v>
      </c>
      <c r="Z50" s="52">
        <v>24</v>
      </c>
      <c r="AA50" s="55">
        <f t="shared" si="9"/>
        <v>2829</v>
      </c>
      <c r="AB50" s="52">
        <v>2846</v>
      </c>
      <c r="AC50" s="52">
        <v>2159</v>
      </c>
      <c r="AD50" s="52">
        <v>466</v>
      </c>
      <c r="AE50" s="52">
        <v>73</v>
      </c>
      <c r="AF50" s="55">
        <f t="shared" si="11"/>
        <v>5544</v>
      </c>
      <c r="AG50" s="52">
        <v>2689</v>
      </c>
      <c r="AH50" s="52">
        <v>4648</v>
      </c>
      <c r="AI50" s="52">
        <v>5226</v>
      </c>
      <c r="AJ50" s="52">
        <v>3871</v>
      </c>
      <c r="AK50" s="55">
        <f t="shared" si="13"/>
        <v>16434</v>
      </c>
      <c r="AL50" s="56">
        <f t="shared" si="14"/>
        <v>0.31841575296486913</v>
      </c>
      <c r="AM50" s="56">
        <f t="shared" si="15"/>
        <v>0.2803532008830022</v>
      </c>
      <c r="AN50" s="56">
        <f t="shared" si="16"/>
        <v>8.0082488400068735E-2</v>
      </c>
      <c r="AO50" s="56">
        <f t="shared" si="17"/>
        <v>1.839717741935484E-2</v>
      </c>
      <c r="AP50" s="57">
        <f t="shared" si="18"/>
        <v>0.20979338530235375</v>
      </c>
      <c r="AQ50" s="56">
        <f t="shared" si="19"/>
        <v>0.30085030208100244</v>
      </c>
      <c r="AR50" s="56">
        <f t="shared" si="20"/>
        <v>0.60355797948318402</v>
      </c>
      <c r="AS50" s="56">
        <f t="shared" si="21"/>
        <v>0.89809245574841035</v>
      </c>
      <c r="AT50" s="56">
        <f t="shared" si="22"/>
        <v>0.975554435483871</v>
      </c>
      <c r="AU50" s="57">
        <f t="shared" si="23"/>
        <v>0.62188753500340577</v>
      </c>
      <c r="AV50" s="52">
        <v>4735</v>
      </c>
      <c r="AW50" s="52">
        <v>7701</v>
      </c>
      <c r="AX50" s="52">
        <v>5819</v>
      </c>
      <c r="AY50" s="52">
        <v>3968</v>
      </c>
      <c r="AZ50" s="58">
        <f t="shared" si="25"/>
        <v>22223</v>
      </c>
      <c r="BA50" s="52">
        <v>3871</v>
      </c>
      <c r="BB50" s="52">
        <v>4452</v>
      </c>
      <c r="BC50" s="52">
        <v>4069</v>
      </c>
      <c r="BD50" s="52">
        <v>3087</v>
      </c>
      <c r="BE50" s="59">
        <f t="shared" si="27"/>
        <v>15479</v>
      </c>
      <c r="BF50" s="52">
        <v>2782</v>
      </c>
      <c r="BG50" s="52">
        <v>3603</v>
      </c>
      <c r="BH50" s="52">
        <v>3097</v>
      </c>
      <c r="BI50" s="52">
        <v>2630</v>
      </c>
      <c r="BJ50" s="60">
        <f t="shared" si="29"/>
        <v>12112</v>
      </c>
      <c r="BK50" s="52">
        <v>1491</v>
      </c>
      <c r="BL50" s="52">
        <v>2428</v>
      </c>
      <c r="BM50" s="52">
        <v>2032</v>
      </c>
      <c r="BN50" s="52">
        <v>2205</v>
      </c>
      <c r="BO50" s="55">
        <f t="shared" si="31"/>
        <v>8156</v>
      </c>
      <c r="BP50" s="61"/>
      <c r="BQ50" s="62">
        <f t="shared" si="51"/>
        <v>0.52976057283508615</v>
      </c>
      <c r="BR50" s="62">
        <f t="shared" si="52"/>
        <v>1</v>
      </c>
      <c r="BS50" s="62">
        <f t="shared" si="53"/>
        <v>1</v>
      </c>
      <c r="BT50" s="62">
        <f t="shared" si="54"/>
        <v>1</v>
      </c>
      <c r="BU50" s="63">
        <f t="shared" si="32"/>
        <v>0.84095209263604032</v>
      </c>
      <c r="BV50" s="62">
        <f t="shared" si="33"/>
        <v>0.43309465204743791</v>
      </c>
      <c r="BW50" s="62">
        <f t="shared" si="34"/>
        <v>0.57810673938449553</v>
      </c>
      <c r="BX50" s="62">
        <f t="shared" si="35"/>
        <v>0.69926104141605083</v>
      </c>
      <c r="BY50" s="62">
        <f t="shared" si="36"/>
        <v>0.77797379032258063</v>
      </c>
      <c r="BZ50" s="64">
        <f t="shared" si="37"/>
        <v>0.58574888367516842</v>
      </c>
      <c r="CA50" s="62">
        <f t="shared" si="38"/>
        <v>0.31125531438800624</v>
      </c>
      <c r="CB50" s="62">
        <f t="shared" si="39"/>
        <v>0.46786131671211528</v>
      </c>
      <c r="CC50" s="62">
        <f t="shared" si="40"/>
        <v>0.53222203127685175</v>
      </c>
      <c r="CD50" s="62">
        <f t="shared" si="41"/>
        <v>0.66280241935483875</v>
      </c>
      <c r="CE50" s="65">
        <f t="shared" si="42"/>
        <v>0.45833648679330963</v>
      </c>
      <c r="CF50" s="62">
        <f t="shared" si="43"/>
        <v>0.16681584247035131</v>
      </c>
      <c r="CG50" s="62">
        <f t="shared" si="44"/>
        <v>0.31528372938579408</v>
      </c>
      <c r="CH50" s="62">
        <f t="shared" si="45"/>
        <v>0.3492008936243341</v>
      </c>
      <c r="CI50" s="62">
        <f t="shared" si="46"/>
        <v>0.555695564516129</v>
      </c>
      <c r="CJ50" s="66">
        <f t="shared" si="47"/>
        <v>0.30863543479906153</v>
      </c>
      <c r="CK50" s="62">
        <f t="shared" si="100"/>
        <v>0.36023159543522043</v>
      </c>
      <c r="CL50" s="62">
        <f t="shared" si="100"/>
        <v>0.59031294637060117</v>
      </c>
      <c r="CM50" s="62">
        <f t="shared" si="100"/>
        <v>0.64517099157930924</v>
      </c>
      <c r="CN50" s="62">
        <f t="shared" si="100"/>
        <v>0.74911794354838701</v>
      </c>
      <c r="CO50" s="67">
        <f t="shared" si="49"/>
        <v>0.54841822447589494</v>
      </c>
      <c r="CP50" s="48"/>
    </row>
    <row r="51" spans="1:94" ht="30.75" customHeight="1" x14ac:dyDescent="0.3">
      <c r="A51" s="49">
        <v>38</v>
      </c>
      <c r="B51" s="50" t="s">
        <v>83</v>
      </c>
      <c r="C51" s="50" t="s">
        <v>88</v>
      </c>
      <c r="D51" s="51">
        <v>46143</v>
      </c>
      <c r="E51" s="52">
        <v>278</v>
      </c>
      <c r="F51" s="52">
        <v>258</v>
      </c>
      <c r="G51" s="53">
        <f t="shared" si="1"/>
        <v>0.92805755395683454</v>
      </c>
      <c r="H51" s="52">
        <v>10770</v>
      </c>
      <c r="I51" s="52">
        <v>8898</v>
      </c>
      <c r="J51" s="52">
        <v>6148</v>
      </c>
      <c r="K51" s="52">
        <v>4381</v>
      </c>
      <c r="L51" s="54">
        <f t="shared" si="3"/>
        <v>30197</v>
      </c>
      <c r="M51" s="52">
        <v>10097</v>
      </c>
      <c r="N51" s="52">
        <v>8451</v>
      </c>
      <c r="O51" s="52">
        <v>5962</v>
      </c>
      <c r="P51" s="52">
        <v>4265</v>
      </c>
      <c r="Q51" s="54">
        <f t="shared" si="5"/>
        <v>28775</v>
      </c>
      <c r="R51" s="52">
        <v>413</v>
      </c>
      <c r="S51" s="52">
        <v>70</v>
      </c>
      <c r="T51" s="52">
        <v>18</v>
      </c>
      <c r="U51" s="52">
        <v>0</v>
      </c>
      <c r="V51" s="55">
        <f t="shared" si="7"/>
        <v>501</v>
      </c>
      <c r="W51" s="52">
        <v>1113</v>
      </c>
      <c r="X51" s="52">
        <v>440</v>
      </c>
      <c r="Y51" s="52">
        <v>83</v>
      </c>
      <c r="Z51" s="52">
        <v>10</v>
      </c>
      <c r="AA51" s="55">
        <f t="shared" si="9"/>
        <v>1646</v>
      </c>
      <c r="AB51" s="52">
        <v>2538</v>
      </c>
      <c r="AC51" s="52">
        <v>1467</v>
      </c>
      <c r="AD51" s="52">
        <v>595</v>
      </c>
      <c r="AE51" s="52">
        <v>154</v>
      </c>
      <c r="AF51" s="55">
        <f t="shared" si="11"/>
        <v>4754</v>
      </c>
      <c r="AG51" s="52">
        <v>6033</v>
      </c>
      <c r="AH51" s="52">
        <v>6474</v>
      </c>
      <c r="AI51" s="52">
        <v>5266</v>
      </c>
      <c r="AJ51" s="52">
        <v>4101</v>
      </c>
      <c r="AK51" s="55">
        <f t="shared" si="13"/>
        <v>21874</v>
      </c>
      <c r="AL51" s="56">
        <f t="shared" si="14"/>
        <v>0.25136179063088043</v>
      </c>
      <c r="AM51" s="56">
        <f t="shared" si="15"/>
        <v>0.17358892438764642</v>
      </c>
      <c r="AN51" s="56">
        <f t="shared" si="16"/>
        <v>9.9798725259979876E-2</v>
      </c>
      <c r="AO51" s="56">
        <f t="shared" si="17"/>
        <v>3.6107854630715121E-2</v>
      </c>
      <c r="AP51" s="57">
        <f t="shared" si="18"/>
        <v>0.16521285838401389</v>
      </c>
      <c r="AQ51" s="56">
        <f t="shared" si="19"/>
        <v>0.59750420917104086</v>
      </c>
      <c r="AR51" s="56">
        <f t="shared" si="20"/>
        <v>0.76606318778842741</v>
      </c>
      <c r="AS51" s="56">
        <f t="shared" si="21"/>
        <v>0.88326065078832605</v>
      </c>
      <c r="AT51" s="56">
        <f t="shared" si="22"/>
        <v>0.96154747948417352</v>
      </c>
      <c r="AU51" s="57">
        <f t="shared" si="23"/>
        <v>0.76017376194613384</v>
      </c>
      <c r="AV51" s="52">
        <v>7237</v>
      </c>
      <c r="AW51" s="52">
        <v>7057</v>
      </c>
      <c r="AX51" s="52">
        <v>5329</v>
      </c>
      <c r="AY51" s="52">
        <v>4045</v>
      </c>
      <c r="AZ51" s="58">
        <f t="shared" si="25"/>
        <v>23668</v>
      </c>
      <c r="BA51" s="52">
        <v>6600</v>
      </c>
      <c r="BB51" s="52">
        <v>6678</v>
      </c>
      <c r="BC51" s="52">
        <v>5041</v>
      </c>
      <c r="BD51" s="52">
        <v>3901</v>
      </c>
      <c r="BE51" s="59">
        <f t="shared" si="27"/>
        <v>22220</v>
      </c>
      <c r="BF51" s="52">
        <v>5537</v>
      </c>
      <c r="BG51" s="52">
        <v>5833</v>
      </c>
      <c r="BH51" s="52">
        <v>4732</v>
      </c>
      <c r="BI51" s="52">
        <v>3773</v>
      </c>
      <c r="BJ51" s="60">
        <f t="shared" si="29"/>
        <v>19875</v>
      </c>
      <c r="BK51" s="52">
        <v>4268</v>
      </c>
      <c r="BL51" s="52">
        <v>4635</v>
      </c>
      <c r="BM51" s="52">
        <v>3938</v>
      </c>
      <c r="BN51" s="52">
        <v>3217</v>
      </c>
      <c r="BO51" s="55">
        <f t="shared" si="31"/>
        <v>16058</v>
      </c>
      <c r="BP51" s="61"/>
      <c r="BQ51" s="62">
        <f t="shared" si="51"/>
        <v>0.71674754877686442</v>
      </c>
      <c r="BR51" s="62">
        <f t="shared" si="52"/>
        <v>0.83504910661460185</v>
      </c>
      <c r="BS51" s="62">
        <f t="shared" si="53"/>
        <v>0.89382757463938278</v>
      </c>
      <c r="BT51" s="62">
        <f t="shared" si="54"/>
        <v>0.94841735052754983</v>
      </c>
      <c r="BU51" s="63">
        <f t="shared" si="32"/>
        <v>0.82251954821894002</v>
      </c>
      <c r="BV51" s="62">
        <f t="shared" si="33"/>
        <v>0.65365950282262053</v>
      </c>
      <c r="BW51" s="62">
        <f t="shared" si="34"/>
        <v>0.79020234291799785</v>
      </c>
      <c r="BX51" s="62">
        <f t="shared" si="35"/>
        <v>0.84552163703455219</v>
      </c>
      <c r="BY51" s="62">
        <f t="shared" si="36"/>
        <v>0.91465416178194603</v>
      </c>
      <c r="BZ51" s="64">
        <f t="shared" si="37"/>
        <v>0.77219808861859252</v>
      </c>
      <c r="CA51" s="62">
        <f t="shared" si="38"/>
        <v>0.54838070714073484</v>
      </c>
      <c r="CB51" s="62">
        <f t="shared" si="39"/>
        <v>0.69021417583717903</v>
      </c>
      <c r="CC51" s="62">
        <f t="shared" si="40"/>
        <v>0.79369339147936935</v>
      </c>
      <c r="CD51" s="62">
        <f t="shared" si="41"/>
        <v>0.88464243845252055</v>
      </c>
      <c r="CE51" s="65">
        <f t="shared" si="42"/>
        <v>0.69070373588184186</v>
      </c>
      <c r="CF51" s="62">
        <f t="shared" si="43"/>
        <v>0.42269981182529465</v>
      </c>
      <c r="CG51" s="62">
        <f t="shared" si="44"/>
        <v>0.54845580404685834</v>
      </c>
      <c r="CH51" s="62">
        <f t="shared" si="45"/>
        <v>0.66051660516605171</v>
      </c>
      <c r="CI51" s="62">
        <f t="shared" si="46"/>
        <v>0.75427901524032825</v>
      </c>
      <c r="CJ51" s="66">
        <f t="shared" si="47"/>
        <v>0.55805386620330144</v>
      </c>
      <c r="CK51" s="62">
        <f t="shared" ref="CK51:CN66" si="123">IFERROR((BQ51+BV51+CA51+CF51)/4,"")</f>
        <v>0.58537189264137857</v>
      </c>
      <c r="CL51" s="62">
        <f t="shared" si="123"/>
        <v>0.71598035735415921</v>
      </c>
      <c r="CM51" s="62">
        <f t="shared" si="123"/>
        <v>0.79838980207983901</v>
      </c>
      <c r="CN51" s="62">
        <f t="shared" si="123"/>
        <v>0.87549824150058608</v>
      </c>
      <c r="CO51" s="67">
        <f t="shared" si="49"/>
        <v>0.71086880973066902</v>
      </c>
      <c r="CP51" s="48"/>
    </row>
    <row r="52" spans="1:94" ht="30.75" customHeight="1" x14ac:dyDescent="0.3">
      <c r="A52" s="36" t="s">
        <v>89</v>
      </c>
      <c r="B52" s="37"/>
      <c r="C52" s="38"/>
      <c r="D52" s="39"/>
      <c r="E52" s="40">
        <f t="shared" ref="E52:F52" si="124">SUM(E53:E55)</f>
        <v>688</v>
      </c>
      <c r="F52" s="40">
        <f t="shared" si="124"/>
        <v>388</v>
      </c>
      <c r="G52" s="41">
        <f t="shared" si="1"/>
        <v>0.56395348837209303</v>
      </c>
      <c r="H52" s="40">
        <f t="shared" ref="H52:K52" si="125">SUM(H53:H55)</f>
        <v>11773</v>
      </c>
      <c r="I52" s="40">
        <f t="shared" si="125"/>
        <v>8512</v>
      </c>
      <c r="J52" s="40">
        <f t="shared" si="125"/>
        <v>4572</v>
      </c>
      <c r="K52" s="40">
        <f t="shared" si="125"/>
        <v>2654</v>
      </c>
      <c r="L52" s="42">
        <f t="shared" si="3"/>
        <v>27511</v>
      </c>
      <c r="M52" s="40">
        <f t="shared" ref="M52:P52" si="126">SUM(M53:M55)</f>
        <v>10278</v>
      </c>
      <c r="N52" s="40">
        <f t="shared" si="126"/>
        <v>7469</v>
      </c>
      <c r="O52" s="40">
        <f t="shared" si="126"/>
        <v>3980</v>
      </c>
      <c r="P52" s="40">
        <f t="shared" si="126"/>
        <v>2372</v>
      </c>
      <c r="Q52" s="42">
        <f t="shared" si="5"/>
        <v>24099</v>
      </c>
      <c r="R52" s="40">
        <f t="shared" ref="R52:U52" si="127">SUM(R53:R55)</f>
        <v>178</v>
      </c>
      <c r="S52" s="40">
        <f t="shared" si="127"/>
        <v>12</v>
      </c>
      <c r="T52" s="40">
        <f t="shared" si="127"/>
        <v>0</v>
      </c>
      <c r="U52" s="40">
        <f t="shared" si="127"/>
        <v>0</v>
      </c>
      <c r="V52" s="43">
        <f t="shared" si="7"/>
        <v>190</v>
      </c>
      <c r="W52" s="40">
        <f t="shared" ref="W52:Z52" si="128">SUM(W53:W55)</f>
        <v>790</v>
      </c>
      <c r="X52" s="40">
        <f t="shared" si="128"/>
        <v>246</v>
      </c>
      <c r="Y52" s="40">
        <f t="shared" si="128"/>
        <v>27</v>
      </c>
      <c r="Z52" s="40">
        <f t="shared" si="128"/>
        <v>0</v>
      </c>
      <c r="AA52" s="43">
        <f t="shared" si="9"/>
        <v>1063</v>
      </c>
      <c r="AB52" s="40">
        <f t="shared" ref="AB52:AE52" si="129">SUM(AB53:AB55)</f>
        <v>2639</v>
      </c>
      <c r="AC52" s="40">
        <f t="shared" si="129"/>
        <v>1395</v>
      </c>
      <c r="AD52" s="40">
        <f t="shared" si="129"/>
        <v>352</v>
      </c>
      <c r="AE52" s="40">
        <f t="shared" si="129"/>
        <v>83</v>
      </c>
      <c r="AF52" s="43">
        <f t="shared" si="11"/>
        <v>4469</v>
      </c>
      <c r="AG52" s="40">
        <f t="shared" ref="AG52:AJ52" si="130">SUM(AG53:AG55)</f>
        <v>6671</v>
      </c>
      <c r="AH52" s="40">
        <f t="shared" si="130"/>
        <v>5816</v>
      </c>
      <c r="AI52" s="40">
        <f t="shared" si="130"/>
        <v>3601</v>
      </c>
      <c r="AJ52" s="40">
        <f t="shared" si="130"/>
        <v>2289</v>
      </c>
      <c r="AK52" s="43">
        <f t="shared" si="13"/>
        <v>18377</v>
      </c>
      <c r="AL52" s="44">
        <f t="shared" si="14"/>
        <v>0.25676201595641174</v>
      </c>
      <c r="AM52" s="44">
        <f t="shared" si="15"/>
        <v>0.18677199089570223</v>
      </c>
      <c r="AN52" s="44">
        <f t="shared" si="16"/>
        <v>8.8442211055276387E-2</v>
      </c>
      <c r="AO52" s="44">
        <f t="shared" si="17"/>
        <v>3.499156829679595E-2</v>
      </c>
      <c r="AP52" s="44">
        <f t="shared" si="18"/>
        <v>0.18544337939333583</v>
      </c>
      <c r="AQ52" s="44">
        <f t="shared" si="19"/>
        <v>0.64905623662191092</v>
      </c>
      <c r="AR52" s="44">
        <f t="shared" si="20"/>
        <v>0.77868523229347975</v>
      </c>
      <c r="AS52" s="44">
        <f t="shared" si="21"/>
        <v>0.90477386934673365</v>
      </c>
      <c r="AT52" s="44">
        <f t="shared" si="22"/>
        <v>0.96500843170320405</v>
      </c>
      <c r="AU52" s="44">
        <f t="shared" si="23"/>
        <v>0.76256276194032946</v>
      </c>
      <c r="AV52" s="40">
        <f t="shared" ref="AV52:AY52" si="131">SUM(AV53:AV55)</f>
        <v>7784</v>
      </c>
      <c r="AW52" s="40">
        <f t="shared" si="131"/>
        <v>6300</v>
      </c>
      <c r="AX52" s="40">
        <f t="shared" si="131"/>
        <v>3566</v>
      </c>
      <c r="AY52" s="40">
        <f t="shared" si="131"/>
        <v>2196</v>
      </c>
      <c r="AZ52" s="43">
        <f t="shared" si="25"/>
        <v>19846</v>
      </c>
      <c r="BA52" s="40">
        <f t="shared" ref="BA52:BD52" si="132">SUM(BA53:BA55)</f>
        <v>7185</v>
      </c>
      <c r="BB52" s="40">
        <f t="shared" si="132"/>
        <v>5865</v>
      </c>
      <c r="BC52" s="40">
        <f t="shared" si="132"/>
        <v>3472</v>
      </c>
      <c r="BD52" s="40">
        <f t="shared" si="132"/>
        <v>2165</v>
      </c>
      <c r="BE52" s="43">
        <f t="shared" si="27"/>
        <v>18687</v>
      </c>
      <c r="BF52" s="40">
        <f t="shared" ref="BF52:BI52" si="133">SUM(BF53:BF55)</f>
        <v>5283</v>
      </c>
      <c r="BG52" s="40">
        <f t="shared" si="133"/>
        <v>4817</v>
      </c>
      <c r="BH52" s="40">
        <f t="shared" si="133"/>
        <v>3037</v>
      </c>
      <c r="BI52" s="40">
        <f t="shared" si="133"/>
        <v>2077</v>
      </c>
      <c r="BJ52" s="43">
        <f t="shared" si="29"/>
        <v>15214</v>
      </c>
      <c r="BK52" s="40">
        <f t="shared" ref="BK52:BN52" si="134">SUM(BK53:BK55)</f>
        <v>4348</v>
      </c>
      <c r="BL52" s="40">
        <f t="shared" si="134"/>
        <v>3846</v>
      </c>
      <c r="BM52" s="40">
        <f t="shared" si="134"/>
        <v>2573</v>
      </c>
      <c r="BN52" s="40">
        <f t="shared" si="134"/>
        <v>1892</v>
      </c>
      <c r="BO52" s="43">
        <f t="shared" si="31"/>
        <v>12659</v>
      </c>
      <c r="BP52" s="45"/>
      <c r="BQ52" s="46">
        <f t="shared" si="51"/>
        <v>0.7573457871181164</v>
      </c>
      <c r="BR52" s="46">
        <f t="shared" si="52"/>
        <v>0.8434864104967198</v>
      </c>
      <c r="BS52" s="46">
        <f t="shared" si="53"/>
        <v>0.89597989949748746</v>
      </c>
      <c r="BT52" s="46">
        <f t="shared" si="54"/>
        <v>0.92580101180438445</v>
      </c>
      <c r="BU52" s="46">
        <f t="shared" si="32"/>
        <v>0.82351964811817913</v>
      </c>
      <c r="BV52" s="46">
        <f t="shared" si="33"/>
        <v>0.69906596614127259</v>
      </c>
      <c r="BW52" s="46">
        <f t="shared" si="34"/>
        <v>0.78524568215289869</v>
      </c>
      <c r="BX52" s="46">
        <f t="shared" si="35"/>
        <v>0.87236180904522609</v>
      </c>
      <c r="BY52" s="46">
        <f t="shared" si="36"/>
        <v>0.91273187183811133</v>
      </c>
      <c r="BZ52" s="47">
        <f t="shared" si="37"/>
        <v>0.77542636623926309</v>
      </c>
      <c r="CA52" s="46">
        <f t="shared" si="38"/>
        <v>0.51401050788091063</v>
      </c>
      <c r="CB52" s="46">
        <f t="shared" si="39"/>
        <v>0.64493238720042845</v>
      </c>
      <c r="CC52" s="46">
        <f t="shared" si="40"/>
        <v>0.76306532663316584</v>
      </c>
      <c r="CD52" s="46">
        <f t="shared" si="41"/>
        <v>0.87563237774030356</v>
      </c>
      <c r="CE52" s="47">
        <f t="shared" si="42"/>
        <v>0.63131250259346861</v>
      </c>
      <c r="CF52" s="46">
        <f t="shared" si="43"/>
        <v>0.42303950184860867</v>
      </c>
      <c r="CG52" s="46">
        <f t="shared" si="44"/>
        <v>0.51492837059847374</v>
      </c>
      <c r="CH52" s="46">
        <f t="shared" si="45"/>
        <v>0.64648241206030155</v>
      </c>
      <c r="CI52" s="46">
        <f t="shared" si="46"/>
        <v>0.79763912310286678</v>
      </c>
      <c r="CJ52" s="47">
        <f t="shared" si="47"/>
        <v>0.52529150587161288</v>
      </c>
      <c r="CK52" s="46">
        <f t="shared" si="123"/>
        <v>0.59836544074722708</v>
      </c>
      <c r="CL52" s="46">
        <f t="shared" si="123"/>
        <v>0.69714821261213022</v>
      </c>
      <c r="CM52" s="46">
        <f t="shared" si="123"/>
        <v>0.79447236180904524</v>
      </c>
      <c r="CN52" s="46">
        <f t="shared" si="123"/>
        <v>0.87795109612141653</v>
      </c>
      <c r="CO52" s="47">
        <f t="shared" si="49"/>
        <v>0.68888750570563095</v>
      </c>
      <c r="CP52" s="48"/>
    </row>
    <row r="53" spans="1:94" ht="30.75" customHeight="1" x14ac:dyDescent="0.3">
      <c r="A53" s="49">
        <v>39</v>
      </c>
      <c r="B53" s="50" t="s">
        <v>90</v>
      </c>
      <c r="C53" s="50" t="s">
        <v>91</v>
      </c>
      <c r="D53" s="51">
        <v>46143</v>
      </c>
      <c r="E53" s="52">
        <v>443</v>
      </c>
      <c r="F53" s="52">
        <v>162</v>
      </c>
      <c r="G53" s="53">
        <f t="shared" si="1"/>
        <v>0.36568848758465011</v>
      </c>
      <c r="H53" s="49">
        <v>5235</v>
      </c>
      <c r="I53" s="49">
        <v>4047</v>
      </c>
      <c r="J53" s="49">
        <v>2307</v>
      </c>
      <c r="K53" s="49">
        <v>1397</v>
      </c>
      <c r="L53" s="54">
        <f t="shared" si="3"/>
        <v>12986</v>
      </c>
      <c r="M53" s="52">
        <v>4427</v>
      </c>
      <c r="N53" s="52">
        <v>3473</v>
      </c>
      <c r="O53" s="52">
        <v>1964</v>
      </c>
      <c r="P53" s="52">
        <v>1217</v>
      </c>
      <c r="Q53" s="54">
        <f t="shared" si="5"/>
        <v>11081</v>
      </c>
      <c r="R53" s="52">
        <v>71</v>
      </c>
      <c r="S53" s="52">
        <v>6</v>
      </c>
      <c r="T53" s="52">
        <v>0</v>
      </c>
      <c r="U53" s="52">
        <v>0</v>
      </c>
      <c r="V53" s="55">
        <f t="shared" si="7"/>
        <v>77</v>
      </c>
      <c r="W53" s="52">
        <v>585</v>
      </c>
      <c r="X53" s="52">
        <v>161</v>
      </c>
      <c r="Y53" s="52">
        <v>14</v>
      </c>
      <c r="Z53" s="52">
        <v>0</v>
      </c>
      <c r="AA53" s="55">
        <f t="shared" si="9"/>
        <v>760</v>
      </c>
      <c r="AB53" s="52">
        <v>1566</v>
      </c>
      <c r="AC53" s="52">
        <v>933</v>
      </c>
      <c r="AD53" s="52">
        <v>253</v>
      </c>
      <c r="AE53" s="52">
        <v>76</v>
      </c>
      <c r="AF53" s="55">
        <f t="shared" si="11"/>
        <v>2828</v>
      </c>
      <c r="AG53" s="52">
        <v>2205</v>
      </c>
      <c r="AH53" s="52">
        <v>2373</v>
      </c>
      <c r="AI53" s="52">
        <v>1697</v>
      </c>
      <c r="AJ53" s="52">
        <v>1141</v>
      </c>
      <c r="AK53" s="55">
        <f t="shared" si="13"/>
        <v>7416</v>
      </c>
      <c r="AL53" s="56">
        <f t="shared" si="14"/>
        <v>0.35373842331149763</v>
      </c>
      <c r="AM53" s="56">
        <f t="shared" si="15"/>
        <v>0.26864382378347251</v>
      </c>
      <c r="AN53" s="56">
        <f t="shared" si="16"/>
        <v>0.12881873727087575</v>
      </c>
      <c r="AO53" s="56">
        <f t="shared" si="17"/>
        <v>6.2448644207066556E-2</v>
      </c>
      <c r="AP53" s="57">
        <f t="shared" si="18"/>
        <v>0.25521162349968413</v>
      </c>
      <c r="AQ53" s="56">
        <f t="shared" si="19"/>
        <v>0.49807996385814324</v>
      </c>
      <c r="AR53" s="56">
        <f t="shared" si="20"/>
        <v>0.68327094730780302</v>
      </c>
      <c r="AS53" s="56">
        <f t="shared" si="21"/>
        <v>0.86405295315682284</v>
      </c>
      <c r="AT53" s="56">
        <f t="shared" si="22"/>
        <v>0.93755135579293347</v>
      </c>
      <c r="AU53" s="57">
        <f t="shared" si="23"/>
        <v>0.66925367746593267</v>
      </c>
      <c r="AV53" s="52">
        <v>3008</v>
      </c>
      <c r="AW53" s="52">
        <v>2833</v>
      </c>
      <c r="AX53" s="52">
        <v>1728</v>
      </c>
      <c r="AY53" s="52">
        <v>1133</v>
      </c>
      <c r="AZ53" s="58">
        <f t="shared" si="25"/>
        <v>8702</v>
      </c>
      <c r="BA53" s="52">
        <v>2675</v>
      </c>
      <c r="BB53" s="52">
        <v>2455</v>
      </c>
      <c r="BC53" s="52">
        <v>1632</v>
      </c>
      <c r="BD53" s="52">
        <v>1096</v>
      </c>
      <c r="BE53" s="59">
        <f t="shared" si="27"/>
        <v>7858</v>
      </c>
      <c r="BF53" s="52">
        <v>1591</v>
      </c>
      <c r="BG53" s="52">
        <v>1851</v>
      </c>
      <c r="BH53" s="52">
        <v>1373</v>
      </c>
      <c r="BI53" s="52">
        <v>1043</v>
      </c>
      <c r="BJ53" s="60">
        <f t="shared" si="29"/>
        <v>5858</v>
      </c>
      <c r="BK53" s="52">
        <v>1022</v>
      </c>
      <c r="BL53" s="52">
        <v>1209</v>
      </c>
      <c r="BM53" s="52">
        <v>1087</v>
      </c>
      <c r="BN53" s="52">
        <v>875</v>
      </c>
      <c r="BO53" s="55">
        <f t="shared" si="31"/>
        <v>4193</v>
      </c>
      <c r="BP53" s="61"/>
      <c r="BQ53" s="62">
        <f t="shared" si="51"/>
        <v>0.6794669076123786</v>
      </c>
      <c r="BR53" s="62">
        <f t="shared" si="52"/>
        <v>0.81572127843363085</v>
      </c>
      <c r="BS53" s="62">
        <f t="shared" si="53"/>
        <v>0.87983706720977595</v>
      </c>
      <c r="BT53" s="62">
        <f t="shared" si="54"/>
        <v>0.93097781429745274</v>
      </c>
      <c r="BU53" s="63">
        <f t="shared" si="32"/>
        <v>0.78530818518184276</v>
      </c>
      <c r="BV53" s="62">
        <f t="shared" si="33"/>
        <v>0.60424666817257733</v>
      </c>
      <c r="BW53" s="62">
        <f t="shared" si="34"/>
        <v>0.70688165850849405</v>
      </c>
      <c r="BX53" s="62">
        <f t="shared" si="35"/>
        <v>0.83095723014256617</v>
      </c>
      <c r="BY53" s="62">
        <f t="shared" si="36"/>
        <v>0.90057518488085453</v>
      </c>
      <c r="BZ53" s="64">
        <f t="shared" si="37"/>
        <v>0.70914177420810398</v>
      </c>
      <c r="CA53" s="62">
        <f t="shared" si="38"/>
        <v>0.35938558843460583</v>
      </c>
      <c r="CB53" s="62">
        <f t="shared" si="39"/>
        <v>0.53296861503023318</v>
      </c>
      <c r="CC53" s="62">
        <f t="shared" si="40"/>
        <v>0.69908350305498979</v>
      </c>
      <c r="CD53" s="62">
        <f t="shared" si="41"/>
        <v>0.85702547247329497</v>
      </c>
      <c r="CE53" s="65">
        <f t="shared" si="42"/>
        <v>0.52865264867791717</v>
      </c>
      <c r="CF53" s="62">
        <f t="shared" si="43"/>
        <v>0.2308561102326632</v>
      </c>
      <c r="CG53" s="62">
        <f t="shared" si="44"/>
        <v>0.34811402245896916</v>
      </c>
      <c r="CH53" s="62">
        <f t="shared" si="45"/>
        <v>0.55346232179226074</v>
      </c>
      <c r="CI53" s="62">
        <f t="shared" si="46"/>
        <v>0.71898110106820046</v>
      </c>
      <c r="CJ53" s="66">
        <f t="shared" si="47"/>
        <v>0.37839545167403665</v>
      </c>
      <c r="CK53" s="62">
        <f t="shared" si="123"/>
        <v>0.46848881861305619</v>
      </c>
      <c r="CL53" s="62">
        <f t="shared" si="123"/>
        <v>0.60092139360783181</v>
      </c>
      <c r="CM53" s="62">
        <f t="shared" si="123"/>
        <v>0.7408350305498983</v>
      </c>
      <c r="CN53" s="62">
        <f t="shared" si="123"/>
        <v>0.85188989317995067</v>
      </c>
      <c r="CO53" s="67">
        <f t="shared" si="49"/>
        <v>0.60037451493547511</v>
      </c>
      <c r="CP53" s="48"/>
    </row>
    <row r="54" spans="1:94" ht="30.75" customHeight="1" x14ac:dyDescent="0.3">
      <c r="A54" s="49">
        <v>40</v>
      </c>
      <c r="B54" s="50" t="s">
        <v>90</v>
      </c>
      <c r="C54" s="50" t="s">
        <v>92</v>
      </c>
      <c r="D54" s="51">
        <v>46143</v>
      </c>
      <c r="E54" s="52">
        <v>89</v>
      </c>
      <c r="F54" s="52">
        <v>74</v>
      </c>
      <c r="G54" s="53">
        <f t="shared" si="1"/>
        <v>0.8314606741573034</v>
      </c>
      <c r="H54" s="52">
        <v>2566</v>
      </c>
      <c r="I54" s="52">
        <v>1703</v>
      </c>
      <c r="J54" s="52">
        <v>786</v>
      </c>
      <c r="K54" s="52">
        <v>445</v>
      </c>
      <c r="L54" s="54">
        <f t="shared" si="3"/>
        <v>5500</v>
      </c>
      <c r="M54" s="52">
        <v>2506</v>
      </c>
      <c r="N54" s="52">
        <v>1651</v>
      </c>
      <c r="O54" s="52">
        <v>773</v>
      </c>
      <c r="P54" s="52">
        <v>437</v>
      </c>
      <c r="Q54" s="54">
        <f t="shared" si="5"/>
        <v>5367</v>
      </c>
      <c r="R54" s="52">
        <v>96</v>
      </c>
      <c r="S54" s="52">
        <v>4</v>
      </c>
      <c r="T54" s="52">
        <v>0</v>
      </c>
      <c r="U54" s="52">
        <v>0</v>
      </c>
      <c r="V54" s="55">
        <f t="shared" si="7"/>
        <v>100</v>
      </c>
      <c r="W54" s="52">
        <v>152</v>
      </c>
      <c r="X54" s="52">
        <v>70</v>
      </c>
      <c r="Y54" s="52">
        <v>9</v>
      </c>
      <c r="Z54" s="52">
        <v>0</v>
      </c>
      <c r="AA54" s="55">
        <f t="shared" si="9"/>
        <v>231</v>
      </c>
      <c r="AB54" s="52">
        <v>567</v>
      </c>
      <c r="AC54" s="52">
        <v>288</v>
      </c>
      <c r="AD54" s="52">
        <v>78</v>
      </c>
      <c r="AE54" s="52">
        <v>2</v>
      </c>
      <c r="AF54" s="55">
        <f t="shared" si="11"/>
        <v>935</v>
      </c>
      <c r="AG54" s="52">
        <v>1691</v>
      </c>
      <c r="AH54" s="52">
        <v>1289</v>
      </c>
      <c r="AI54" s="52">
        <v>686</v>
      </c>
      <c r="AJ54" s="52">
        <v>435</v>
      </c>
      <c r="AK54" s="55">
        <f t="shared" si="13"/>
        <v>4101</v>
      </c>
      <c r="AL54" s="56">
        <f t="shared" si="14"/>
        <v>0.22625698324022347</v>
      </c>
      <c r="AM54" s="56">
        <f t="shared" si="15"/>
        <v>0.17443973349485162</v>
      </c>
      <c r="AN54" s="56">
        <f t="shared" si="16"/>
        <v>0.10090556274256145</v>
      </c>
      <c r="AO54" s="56">
        <f t="shared" si="17"/>
        <v>4.5766590389016018E-3</v>
      </c>
      <c r="AP54" s="57">
        <f t="shared" si="18"/>
        <v>0.1742127818147941</v>
      </c>
      <c r="AQ54" s="56">
        <f t="shared" si="19"/>
        <v>0.674780526735834</v>
      </c>
      <c r="AR54" s="56">
        <f t="shared" si="20"/>
        <v>0.78073894609327676</v>
      </c>
      <c r="AS54" s="56">
        <f t="shared" si="21"/>
        <v>0.88745148771021998</v>
      </c>
      <c r="AT54" s="56">
        <f t="shared" si="22"/>
        <v>0.99542334096109841</v>
      </c>
      <c r="AU54" s="57">
        <f t="shared" si="23"/>
        <v>0.76411403018446056</v>
      </c>
      <c r="AV54" s="52">
        <v>1742</v>
      </c>
      <c r="AW54" s="52">
        <v>1201</v>
      </c>
      <c r="AX54" s="52">
        <v>613</v>
      </c>
      <c r="AY54" s="52">
        <v>353</v>
      </c>
      <c r="AZ54" s="58">
        <f t="shared" si="25"/>
        <v>3909</v>
      </c>
      <c r="BA54" s="52">
        <v>1694</v>
      </c>
      <c r="BB54" s="52">
        <v>1228</v>
      </c>
      <c r="BC54" s="52">
        <v>645</v>
      </c>
      <c r="BD54" s="52">
        <v>369</v>
      </c>
      <c r="BE54" s="59">
        <f t="shared" si="27"/>
        <v>3936</v>
      </c>
      <c r="BF54" s="52">
        <v>1280</v>
      </c>
      <c r="BG54" s="52">
        <v>1036</v>
      </c>
      <c r="BH54" s="52">
        <v>553</v>
      </c>
      <c r="BI54" s="52">
        <v>356</v>
      </c>
      <c r="BJ54" s="60">
        <f t="shared" si="29"/>
        <v>3225</v>
      </c>
      <c r="BK54" s="52">
        <v>1242</v>
      </c>
      <c r="BL54" s="52">
        <v>1010</v>
      </c>
      <c r="BM54" s="52">
        <v>510</v>
      </c>
      <c r="BN54" s="52">
        <v>355</v>
      </c>
      <c r="BO54" s="55">
        <f t="shared" si="31"/>
        <v>3117</v>
      </c>
      <c r="BP54" s="61"/>
      <c r="BQ54" s="62">
        <f t="shared" si="51"/>
        <v>0.69513168395849956</v>
      </c>
      <c r="BR54" s="62">
        <f t="shared" si="52"/>
        <v>0.72743791641429434</v>
      </c>
      <c r="BS54" s="62">
        <f t="shared" si="53"/>
        <v>0.79301423027166884</v>
      </c>
      <c r="BT54" s="62">
        <f t="shared" si="54"/>
        <v>0.80778032036613268</v>
      </c>
      <c r="BU54" s="63">
        <f t="shared" si="32"/>
        <v>0.72833985466741191</v>
      </c>
      <c r="BV54" s="62">
        <f t="shared" si="33"/>
        <v>0.67597765363128492</v>
      </c>
      <c r="BW54" s="62">
        <f t="shared" si="34"/>
        <v>0.74379164142943666</v>
      </c>
      <c r="BX54" s="62">
        <f t="shared" si="35"/>
        <v>0.83441138421733507</v>
      </c>
      <c r="BY54" s="62">
        <f t="shared" si="36"/>
        <v>0.84439359267734548</v>
      </c>
      <c r="BZ54" s="64">
        <f t="shared" si="37"/>
        <v>0.7333705980994969</v>
      </c>
      <c r="CA54" s="62">
        <f t="shared" si="38"/>
        <v>0.51077414205905824</v>
      </c>
      <c r="CB54" s="62">
        <f t="shared" si="39"/>
        <v>0.62749848576620226</v>
      </c>
      <c r="CC54" s="62">
        <f t="shared" si="40"/>
        <v>0.71539456662354461</v>
      </c>
      <c r="CD54" s="62">
        <f t="shared" si="41"/>
        <v>0.81464530892448517</v>
      </c>
      <c r="CE54" s="65">
        <f t="shared" si="42"/>
        <v>0.60089435438792627</v>
      </c>
      <c r="CF54" s="62">
        <f t="shared" si="43"/>
        <v>0.49561053471667998</v>
      </c>
      <c r="CG54" s="62">
        <f t="shared" si="44"/>
        <v>0.6117504542701393</v>
      </c>
      <c r="CH54" s="62">
        <f t="shared" si="45"/>
        <v>0.65976714100905565</v>
      </c>
      <c r="CI54" s="62">
        <f t="shared" si="46"/>
        <v>0.81235697940503437</v>
      </c>
      <c r="CJ54" s="66">
        <f t="shared" si="47"/>
        <v>0.58077138065958633</v>
      </c>
      <c r="CK54" s="62">
        <f t="shared" si="123"/>
        <v>0.59437350359138064</v>
      </c>
      <c r="CL54" s="62">
        <f t="shared" si="123"/>
        <v>0.67761962447001811</v>
      </c>
      <c r="CM54" s="62">
        <f t="shared" si="123"/>
        <v>0.75064683053040104</v>
      </c>
      <c r="CN54" s="62">
        <f t="shared" si="123"/>
        <v>0.81979405034324937</v>
      </c>
      <c r="CO54" s="67">
        <f t="shared" si="49"/>
        <v>0.66084404695360544</v>
      </c>
      <c r="CP54" s="48"/>
    </row>
    <row r="55" spans="1:94" ht="30.75" customHeight="1" x14ac:dyDescent="0.3">
      <c r="A55" s="49">
        <v>41</v>
      </c>
      <c r="B55" s="50" t="s">
        <v>90</v>
      </c>
      <c r="C55" s="50" t="s">
        <v>93</v>
      </c>
      <c r="D55" s="85">
        <v>46143</v>
      </c>
      <c r="E55" s="52">
        <v>156</v>
      </c>
      <c r="F55" s="52">
        <v>152</v>
      </c>
      <c r="G55" s="53">
        <f t="shared" si="1"/>
        <v>0.97435897435897434</v>
      </c>
      <c r="H55" s="52">
        <v>3972</v>
      </c>
      <c r="I55" s="52">
        <v>2762</v>
      </c>
      <c r="J55" s="52">
        <v>1479</v>
      </c>
      <c r="K55" s="52">
        <v>812</v>
      </c>
      <c r="L55" s="54">
        <f t="shared" si="3"/>
        <v>9025</v>
      </c>
      <c r="M55" s="52">
        <v>3345</v>
      </c>
      <c r="N55" s="52">
        <v>2345</v>
      </c>
      <c r="O55" s="52">
        <v>1243</v>
      </c>
      <c r="P55" s="52">
        <v>718</v>
      </c>
      <c r="Q55" s="54">
        <f t="shared" si="5"/>
        <v>7651</v>
      </c>
      <c r="R55" s="52">
        <v>11</v>
      </c>
      <c r="S55" s="52">
        <v>2</v>
      </c>
      <c r="T55" s="52">
        <v>0</v>
      </c>
      <c r="U55" s="52">
        <v>0</v>
      </c>
      <c r="V55" s="55">
        <f t="shared" si="7"/>
        <v>13</v>
      </c>
      <c r="W55" s="52">
        <v>53</v>
      </c>
      <c r="X55" s="52">
        <v>15</v>
      </c>
      <c r="Y55" s="52">
        <v>4</v>
      </c>
      <c r="Z55" s="52">
        <v>0</v>
      </c>
      <c r="AA55" s="55">
        <f t="shared" si="9"/>
        <v>72</v>
      </c>
      <c r="AB55" s="52">
        <v>506</v>
      </c>
      <c r="AC55" s="52">
        <v>174</v>
      </c>
      <c r="AD55" s="52">
        <v>21</v>
      </c>
      <c r="AE55" s="52">
        <v>5</v>
      </c>
      <c r="AF55" s="55">
        <f t="shared" si="11"/>
        <v>706</v>
      </c>
      <c r="AG55" s="52">
        <v>2775</v>
      </c>
      <c r="AH55" s="52">
        <v>2154</v>
      </c>
      <c r="AI55" s="52">
        <v>1218</v>
      </c>
      <c r="AJ55" s="52">
        <v>713</v>
      </c>
      <c r="AK55" s="55">
        <f t="shared" si="13"/>
        <v>6860</v>
      </c>
      <c r="AL55" s="56">
        <f t="shared" si="14"/>
        <v>0.15127055306427503</v>
      </c>
      <c r="AM55" s="56">
        <f t="shared" si="15"/>
        <v>7.4200426439232414E-2</v>
      </c>
      <c r="AN55" s="56">
        <f t="shared" si="16"/>
        <v>1.6894609814963796E-2</v>
      </c>
      <c r="AO55" s="56">
        <f t="shared" si="17"/>
        <v>6.9637883008356544E-3</v>
      </c>
      <c r="AP55" s="57">
        <f t="shared" si="18"/>
        <v>9.2275519539929421E-2</v>
      </c>
      <c r="AQ55" s="56">
        <f t="shared" si="19"/>
        <v>0.82959641255605376</v>
      </c>
      <c r="AR55" s="56">
        <f t="shared" si="20"/>
        <v>0.91855010660980807</v>
      </c>
      <c r="AS55" s="56">
        <f t="shared" si="21"/>
        <v>0.97988736926790021</v>
      </c>
      <c r="AT55" s="56">
        <f t="shared" si="22"/>
        <v>0.99303621169916434</v>
      </c>
      <c r="AU55" s="57">
        <f t="shared" si="23"/>
        <v>0.89661482159194872</v>
      </c>
      <c r="AV55" s="52">
        <v>3034</v>
      </c>
      <c r="AW55" s="52">
        <v>2266</v>
      </c>
      <c r="AX55" s="52">
        <v>1225</v>
      </c>
      <c r="AY55" s="52">
        <v>710</v>
      </c>
      <c r="AZ55" s="58">
        <f t="shared" si="25"/>
        <v>7235</v>
      </c>
      <c r="BA55" s="52">
        <v>2816</v>
      </c>
      <c r="BB55" s="52">
        <v>2182</v>
      </c>
      <c r="BC55" s="52">
        <v>1195</v>
      </c>
      <c r="BD55" s="52">
        <v>700</v>
      </c>
      <c r="BE55" s="59">
        <f t="shared" si="27"/>
        <v>6893</v>
      </c>
      <c r="BF55" s="52">
        <v>2412</v>
      </c>
      <c r="BG55" s="52">
        <v>1930</v>
      </c>
      <c r="BH55" s="52">
        <v>1111</v>
      </c>
      <c r="BI55" s="52">
        <v>678</v>
      </c>
      <c r="BJ55" s="60">
        <f t="shared" si="29"/>
        <v>6131</v>
      </c>
      <c r="BK55" s="52">
        <v>2084</v>
      </c>
      <c r="BL55" s="52">
        <v>1627</v>
      </c>
      <c r="BM55" s="52">
        <v>976</v>
      </c>
      <c r="BN55" s="52">
        <v>662</v>
      </c>
      <c r="BO55" s="55">
        <f t="shared" si="31"/>
        <v>5349</v>
      </c>
      <c r="BP55" s="61"/>
      <c r="BQ55" s="62">
        <f t="shared" si="51"/>
        <v>0.90702541106128554</v>
      </c>
      <c r="BR55" s="62">
        <f t="shared" si="52"/>
        <v>0.96631130063965887</v>
      </c>
      <c r="BS55" s="62">
        <f t="shared" si="53"/>
        <v>0.98551890587288815</v>
      </c>
      <c r="BT55" s="62">
        <f t="shared" si="54"/>
        <v>0.9888579387186629</v>
      </c>
      <c r="BU55" s="63">
        <f t="shared" si="32"/>
        <v>0.94562802248072142</v>
      </c>
      <c r="BV55" s="62">
        <f t="shared" si="33"/>
        <v>0.84185351270553066</v>
      </c>
      <c r="BW55" s="62">
        <f t="shared" si="34"/>
        <v>0.93049040511727077</v>
      </c>
      <c r="BX55" s="62">
        <f t="shared" si="35"/>
        <v>0.96138374899436851</v>
      </c>
      <c r="BY55" s="62">
        <f t="shared" si="36"/>
        <v>0.97493036211699169</v>
      </c>
      <c r="BZ55" s="64">
        <f t="shared" si="37"/>
        <v>0.90092798327016077</v>
      </c>
      <c r="CA55" s="62">
        <f t="shared" si="38"/>
        <v>0.7210762331838565</v>
      </c>
      <c r="CB55" s="62">
        <f t="shared" si="39"/>
        <v>0.82302771855010659</v>
      </c>
      <c r="CC55" s="62">
        <f t="shared" si="40"/>
        <v>0.89380530973451322</v>
      </c>
      <c r="CD55" s="62">
        <f t="shared" si="41"/>
        <v>0.94428969359331472</v>
      </c>
      <c r="CE55" s="65">
        <f t="shared" si="42"/>
        <v>0.80133315906417457</v>
      </c>
      <c r="CF55" s="62">
        <f t="shared" si="43"/>
        <v>0.62301943198804188</v>
      </c>
      <c r="CG55" s="62">
        <f t="shared" si="44"/>
        <v>0.69381663113006398</v>
      </c>
      <c r="CH55" s="62">
        <f t="shared" si="45"/>
        <v>0.78519710378117458</v>
      </c>
      <c r="CI55" s="62">
        <f t="shared" si="46"/>
        <v>0.92200557103064062</v>
      </c>
      <c r="CJ55" s="66">
        <f t="shared" si="47"/>
        <v>0.69912429747745397</v>
      </c>
      <c r="CK55" s="62">
        <f t="shared" si="123"/>
        <v>0.77324364723467864</v>
      </c>
      <c r="CL55" s="62">
        <f t="shared" si="123"/>
        <v>0.85341151385927505</v>
      </c>
      <c r="CM55" s="62">
        <f t="shared" si="123"/>
        <v>0.90647626709573603</v>
      </c>
      <c r="CN55" s="62">
        <f t="shared" si="123"/>
        <v>0.95752089136490248</v>
      </c>
      <c r="CO55" s="67">
        <f t="shared" si="49"/>
        <v>0.83675336557312774</v>
      </c>
      <c r="CP55" s="48"/>
    </row>
    <row r="56" spans="1:94" ht="30.75" customHeight="1" x14ac:dyDescent="0.3">
      <c r="A56" s="36" t="s">
        <v>94</v>
      </c>
      <c r="B56" s="37"/>
      <c r="C56" s="38"/>
      <c r="D56" s="39"/>
      <c r="E56" s="40">
        <f t="shared" ref="E56:F56" si="135">SUM(E57:E59)</f>
        <v>681</v>
      </c>
      <c r="F56" s="40">
        <f t="shared" si="135"/>
        <v>661</v>
      </c>
      <c r="G56" s="41">
        <f t="shared" si="1"/>
        <v>0.97063142437591776</v>
      </c>
      <c r="H56" s="40">
        <f t="shared" ref="H56:K56" si="136">SUM(H57:H59)</f>
        <v>23439</v>
      </c>
      <c r="I56" s="40">
        <f t="shared" si="136"/>
        <v>21638</v>
      </c>
      <c r="J56" s="40">
        <f t="shared" si="136"/>
        <v>18374</v>
      </c>
      <c r="K56" s="40">
        <f t="shared" si="136"/>
        <v>13346</v>
      </c>
      <c r="L56" s="42">
        <f t="shared" si="3"/>
        <v>76797</v>
      </c>
      <c r="M56" s="40">
        <f t="shared" ref="M56:P56" si="137">SUM(M57:M59)</f>
        <v>19124</v>
      </c>
      <c r="N56" s="40">
        <f t="shared" si="137"/>
        <v>18138</v>
      </c>
      <c r="O56" s="40">
        <f t="shared" si="137"/>
        <v>14907</v>
      </c>
      <c r="P56" s="40">
        <f t="shared" si="137"/>
        <v>10688</v>
      </c>
      <c r="Q56" s="42">
        <f t="shared" si="5"/>
        <v>62857</v>
      </c>
      <c r="R56" s="40">
        <f t="shared" ref="R56:U56" si="138">SUM(R57:R59)</f>
        <v>288</v>
      </c>
      <c r="S56" s="40">
        <f t="shared" si="138"/>
        <v>79</v>
      </c>
      <c r="T56" s="40">
        <f t="shared" si="138"/>
        <v>15</v>
      </c>
      <c r="U56" s="40">
        <f t="shared" si="138"/>
        <v>0</v>
      </c>
      <c r="V56" s="43">
        <f t="shared" si="7"/>
        <v>382</v>
      </c>
      <c r="W56" s="40">
        <f t="shared" ref="W56:Z56" si="139">SUM(W57:W59)</f>
        <v>1661</v>
      </c>
      <c r="X56" s="40">
        <f t="shared" si="139"/>
        <v>524</v>
      </c>
      <c r="Y56" s="40">
        <f t="shared" si="139"/>
        <v>160</v>
      </c>
      <c r="Z56" s="40">
        <f t="shared" si="139"/>
        <v>22</v>
      </c>
      <c r="AA56" s="43">
        <f t="shared" si="9"/>
        <v>2367</v>
      </c>
      <c r="AB56" s="40">
        <f t="shared" ref="AB56:AE56" si="140">SUM(AB57:AB59)</f>
        <v>5781</v>
      </c>
      <c r="AC56" s="40">
        <f t="shared" si="140"/>
        <v>2977</v>
      </c>
      <c r="AD56" s="40">
        <f t="shared" si="140"/>
        <v>1194</v>
      </c>
      <c r="AE56" s="40">
        <f t="shared" si="140"/>
        <v>404</v>
      </c>
      <c r="AF56" s="43">
        <f t="shared" si="11"/>
        <v>10356</v>
      </c>
      <c r="AG56" s="40">
        <f t="shared" ref="AG56:AJ56" si="141">SUM(AG57:AG59)</f>
        <v>11391</v>
      </c>
      <c r="AH56" s="40">
        <f t="shared" si="141"/>
        <v>14549</v>
      </c>
      <c r="AI56" s="40">
        <f t="shared" si="141"/>
        <v>13500</v>
      </c>
      <c r="AJ56" s="40">
        <f t="shared" si="141"/>
        <v>10262</v>
      </c>
      <c r="AK56" s="43">
        <f t="shared" si="13"/>
        <v>49702</v>
      </c>
      <c r="AL56" s="44">
        <f t="shared" si="14"/>
        <v>0.30229031583350763</v>
      </c>
      <c r="AM56" s="44">
        <f t="shared" si="15"/>
        <v>0.16413055463667439</v>
      </c>
      <c r="AN56" s="44">
        <f t="shared" si="16"/>
        <v>8.0096598913262221E-2</v>
      </c>
      <c r="AO56" s="44">
        <f t="shared" si="17"/>
        <v>3.779940119760479E-2</v>
      </c>
      <c r="AP56" s="44">
        <f t="shared" si="18"/>
        <v>0.16475491989754523</v>
      </c>
      <c r="AQ56" s="44">
        <f t="shared" si="19"/>
        <v>0.59563898765948542</v>
      </c>
      <c r="AR56" s="44">
        <f t="shared" si="20"/>
        <v>0.80212812879038486</v>
      </c>
      <c r="AS56" s="44">
        <f t="shared" si="21"/>
        <v>0.9056148118333669</v>
      </c>
      <c r="AT56" s="44">
        <f t="shared" si="22"/>
        <v>0.96014221556886226</v>
      </c>
      <c r="AU56" s="44">
        <f t="shared" si="23"/>
        <v>0.79071543344416695</v>
      </c>
      <c r="AV56" s="40">
        <f t="shared" ref="AV56:AY56" si="142">SUM(AV57:AV59)</f>
        <v>13929</v>
      </c>
      <c r="AW56" s="40">
        <f t="shared" si="142"/>
        <v>15311</v>
      </c>
      <c r="AX56" s="40">
        <f t="shared" si="142"/>
        <v>13501</v>
      </c>
      <c r="AY56" s="40">
        <f t="shared" si="142"/>
        <v>10042</v>
      </c>
      <c r="AZ56" s="43">
        <f t="shared" si="25"/>
        <v>52783</v>
      </c>
      <c r="BA56" s="40">
        <f t="shared" ref="BA56:BD56" si="143">SUM(BA57:BA59)</f>
        <v>12277</v>
      </c>
      <c r="BB56" s="40">
        <f t="shared" si="143"/>
        <v>13753</v>
      </c>
      <c r="BC56" s="40">
        <f t="shared" si="143"/>
        <v>12740</v>
      </c>
      <c r="BD56" s="40">
        <f t="shared" si="143"/>
        <v>9821</v>
      </c>
      <c r="BE56" s="43">
        <f t="shared" si="27"/>
        <v>48591</v>
      </c>
      <c r="BF56" s="40">
        <f t="shared" ref="BF56:BI56" si="144">SUM(BF57:BF59)</f>
        <v>8182</v>
      </c>
      <c r="BG56" s="40">
        <f t="shared" si="144"/>
        <v>11005</v>
      </c>
      <c r="BH56" s="40">
        <f t="shared" si="144"/>
        <v>10674</v>
      </c>
      <c r="BI56" s="40">
        <f t="shared" si="144"/>
        <v>8509</v>
      </c>
      <c r="BJ56" s="43">
        <f t="shared" si="29"/>
        <v>38370</v>
      </c>
      <c r="BK56" s="40">
        <f t="shared" ref="BK56:BN56" si="145">SUM(BK57:BK59)</f>
        <v>6393</v>
      </c>
      <c r="BL56" s="40">
        <f t="shared" si="145"/>
        <v>8986</v>
      </c>
      <c r="BM56" s="40">
        <f t="shared" si="145"/>
        <v>9571</v>
      </c>
      <c r="BN56" s="40">
        <f t="shared" si="145"/>
        <v>8124</v>
      </c>
      <c r="BO56" s="43">
        <f t="shared" si="31"/>
        <v>33074</v>
      </c>
      <c r="BP56" s="45"/>
      <c r="BQ56" s="46">
        <f t="shared" si="51"/>
        <v>0.72835180924492782</v>
      </c>
      <c r="BR56" s="46">
        <f t="shared" si="52"/>
        <v>0.84413937589590915</v>
      </c>
      <c r="BS56" s="46">
        <f t="shared" si="53"/>
        <v>0.90568189441202118</v>
      </c>
      <c r="BT56" s="46">
        <f t="shared" si="54"/>
        <v>0.93955838323353291</v>
      </c>
      <c r="BU56" s="46">
        <f t="shared" si="32"/>
        <v>0.83973145393512261</v>
      </c>
      <c r="BV56" s="46">
        <f t="shared" si="33"/>
        <v>0.64196820748797323</v>
      </c>
      <c r="BW56" s="46">
        <f t="shared" si="34"/>
        <v>0.75824236409747492</v>
      </c>
      <c r="BX56" s="46">
        <f t="shared" si="35"/>
        <v>0.85463205205608106</v>
      </c>
      <c r="BY56" s="46">
        <f t="shared" si="36"/>
        <v>0.91888098802395213</v>
      </c>
      <c r="BZ56" s="47">
        <f t="shared" si="37"/>
        <v>0.77304039327362106</v>
      </c>
      <c r="CA56" s="46">
        <f t="shared" si="38"/>
        <v>0.42783936414975948</v>
      </c>
      <c r="CB56" s="46">
        <f t="shared" si="39"/>
        <v>0.60673723674054469</v>
      </c>
      <c r="CC56" s="46">
        <f t="shared" si="40"/>
        <v>0.71603944455624879</v>
      </c>
      <c r="CD56" s="46">
        <f t="shared" si="41"/>
        <v>0.79612649700598803</v>
      </c>
      <c r="CE56" s="47">
        <f t="shared" si="42"/>
        <v>0.61043320553001257</v>
      </c>
      <c r="CF56" s="46">
        <f t="shared" si="43"/>
        <v>0.3342919891236143</v>
      </c>
      <c r="CG56" s="46">
        <f t="shared" si="44"/>
        <v>0.49542397177197045</v>
      </c>
      <c r="CH56" s="46">
        <f t="shared" si="45"/>
        <v>0.64204736030053</v>
      </c>
      <c r="CI56" s="46">
        <f t="shared" si="46"/>
        <v>0.76010479041916168</v>
      </c>
      <c r="CJ56" s="47">
        <f t="shared" si="47"/>
        <v>0.52617846858742856</v>
      </c>
      <c r="CK56" s="46">
        <f t="shared" si="123"/>
        <v>0.53311284250156876</v>
      </c>
      <c r="CL56" s="46">
        <f t="shared" si="123"/>
        <v>0.6761357371264749</v>
      </c>
      <c r="CM56" s="46">
        <f t="shared" si="123"/>
        <v>0.77960018783122031</v>
      </c>
      <c r="CN56" s="46">
        <f t="shared" si="123"/>
        <v>0.85366766467065869</v>
      </c>
      <c r="CO56" s="47">
        <f t="shared" si="49"/>
        <v>0.6873458803315462</v>
      </c>
      <c r="CP56" s="48"/>
    </row>
    <row r="57" spans="1:94" ht="30.75" customHeight="1" x14ac:dyDescent="0.3">
      <c r="A57" s="49">
        <v>42</v>
      </c>
      <c r="B57" s="50" t="s">
        <v>95</v>
      </c>
      <c r="C57" s="50" t="s">
        <v>96</v>
      </c>
      <c r="D57" s="51">
        <v>46143</v>
      </c>
      <c r="E57" s="52">
        <v>279</v>
      </c>
      <c r="F57" s="52">
        <v>279</v>
      </c>
      <c r="G57" s="53">
        <f t="shared" si="1"/>
        <v>1</v>
      </c>
      <c r="H57" s="52">
        <v>8598</v>
      </c>
      <c r="I57" s="52">
        <v>8465</v>
      </c>
      <c r="J57" s="52">
        <v>6977</v>
      </c>
      <c r="K57" s="52">
        <v>4852</v>
      </c>
      <c r="L57" s="54">
        <f t="shared" si="3"/>
        <v>28892</v>
      </c>
      <c r="M57" s="52">
        <v>7407</v>
      </c>
      <c r="N57" s="52">
        <v>7228</v>
      </c>
      <c r="O57" s="52">
        <v>5736</v>
      </c>
      <c r="P57" s="52">
        <v>3923</v>
      </c>
      <c r="Q57" s="54">
        <f t="shared" si="5"/>
        <v>24294</v>
      </c>
      <c r="R57" s="52">
        <v>73</v>
      </c>
      <c r="S57" s="52">
        <v>42</v>
      </c>
      <c r="T57" s="52">
        <v>11</v>
      </c>
      <c r="U57" s="52">
        <v>0</v>
      </c>
      <c r="V57" s="55">
        <f t="shared" si="7"/>
        <v>126</v>
      </c>
      <c r="W57" s="52">
        <v>566</v>
      </c>
      <c r="X57" s="52">
        <v>195</v>
      </c>
      <c r="Y57" s="52">
        <v>69</v>
      </c>
      <c r="Z57" s="52">
        <v>4</v>
      </c>
      <c r="AA57" s="55">
        <f t="shared" si="9"/>
        <v>834</v>
      </c>
      <c r="AB57" s="52">
        <v>2099</v>
      </c>
      <c r="AC57" s="52">
        <v>1117</v>
      </c>
      <c r="AD57" s="52">
        <v>524</v>
      </c>
      <c r="AE57" s="52">
        <v>168</v>
      </c>
      <c r="AF57" s="55">
        <f t="shared" si="11"/>
        <v>3908</v>
      </c>
      <c r="AG57" s="52">
        <v>4669</v>
      </c>
      <c r="AH57" s="52">
        <v>5874</v>
      </c>
      <c r="AI57" s="52">
        <v>5132</v>
      </c>
      <c r="AJ57" s="52">
        <v>3751</v>
      </c>
      <c r="AK57" s="55">
        <f t="shared" si="13"/>
        <v>19426</v>
      </c>
      <c r="AL57" s="56">
        <f t="shared" si="14"/>
        <v>0.28338058593222626</v>
      </c>
      <c r="AM57" s="56">
        <f t="shared" si="15"/>
        <v>0.15453790813503043</v>
      </c>
      <c r="AN57" s="56">
        <f t="shared" si="16"/>
        <v>9.1352859135285916E-2</v>
      </c>
      <c r="AO57" s="56">
        <f t="shared" si="17"/>
        <v>4.2824369105276573E-2</v>
      </c>
      <c r="AP57" s="57">
        <f t="shared" si="18"/>
        <v>0.16086276446859307</v>
      </c>
      <c r="AQ57" s="56">
        <f t="shared" si="19"/>
        <v>0.6303496692318078</v>
      </c>
      <c r="AR57" s="56">
        <f t="shared" si="20"/>
        <v>0.81267293857221912</v>
      </c>
      <c r="AS57" s="56">
        <f t="shared" si="21"/>
        <v>0.89470013947001392</v>
      </c>
      <c r="AT57" s="56">
        <f t="shared" si="22"/>
        <v>0.95615600305888349</v>
      </c>
      <c r="AU57" s="57">
        <f t="shared" si="23"/>
        <v>0.79962130567218248</v>
      </c>
      <c r="AV57" s="52">
        <v>5634</v>
      </c>
      <c r="AW57" s="52">
        <v>6270</v>
      </c>
      <c r="AX57" s="52">
        <v>5159</v>
      </c>
      <c r="AY57" s="52">
        <v>3621</v>
      </c>
      <c r="AZ57" s="58">
        <f t="shared" si="25"/>
        <v>20684</v>
      </c>
      <c r="BA57" s="52">
        <v>5039</v>
      </c>
      <c r="BB57" s="52">
        <v>5648</v>
      </c>
      <c r="BC57" s="52">
        <v>4883</v>
      </c>
      <c r="BD57" s="52">
        <v>3504</v>
      </c>
      <c r="BE57" s="59">
        <f t="shared" si="27"/>
        <v>19074</v>
      </c>
      <c r="BF57" s="52">
        <v>3804</v>
      </c>
      <c r="BG57" s="52">
        <v>4872</v>
      </c>
      <c r="BH57" s="52">
        <v>4436</v>
      </c>
      <c r="BI57" s="52">
        <v>3236</v>
      </c>
      <c r="BJ57" s="60">
        <f t="shared" si="29"/>
        <v>16348</v>
      </c>
      <c r="BK57" s="52">
        <v>3003</v>
      </c>
      <c r="BL57" s="52">
        <v>3710</v>
      </c>
      <c r="BM57" s="52">
        <v>3728</v>
      </c>
      <c r="BN57" s="52">
        <v>2859</v>
      </c>
      <c r="BO57" s="55">
        <f t="shared" si="31"/>
        <v>13300</v>
      </c>
      <c r="BP57" s="61"/>
      <c r="BQ57" s="62">
        <f t="shared" si="51"/>
        <v>0.76063183475091134</v>
      </c>
      <c r="BR57" s="62">
        <f t="shared" si="52"/>
        <v>0.86745987825124515</v>
      </c>
      <c r="BS57" s="62">
        <f t="shared" si="53"/>
        <v>0.89940725244072528</v>
      </c>
      <c r="BT57" s="62">
        <f t="shared" si="54"/>
        <v>0.92301809839408611</v>
      </c>
      <c r="BU57" s="63">
        <f t="shared" si="32"/>
        <v>0.85140363875854119</v>
      </c>
      <c r="BV57" s="62">
        <f t="shared" si="33"/>
        <v>0.6803024166329148</v>
      </c>
      <c r="BW57" s="62">
        <f t="shared" si="34"/>
        <v>0.78140564471499718</v>
      </c>
      <c r="BX57" s="62">
        <f t="shared" si="35"/>
        <v>0.85129009762900976</v>
      </c>
      <c r="BY57" s="62">
        <f t="shared" si="36"/>
        <v>0.89319398419576856</v>
      </c>
      <c r="BZ57" s="64">
        <f t="shared" si="37"/>
        <v>0.78513213139046678</v>
      </c>
      <c r="CA57" s="62">
        <f t="shared" si="38"/>
        <v>0.51356824625354391</v>
      </c>
      <c r="CB57" s="62">
        <f t="shared" si="39"/>
        <v>0.67404537908135032</v>
      </c>
      <c r="CC57" s="62">
        <f t="shared" si="40"/>
        <v>0.77336122733612278</v>
      </c>
      <c r="CD57" s="62">
        <f t="shared" si="41"/>
        <v>0.82487891919449396</v>
      </c>
      <c r="CE57" s="65">
        <f t="shared" si="42"/>
        <v>0.67292335556104388</v>
      </c>
      <c r="CF57" s="62">
        <f t="shared" si="43"/>
        <v>0.40542729850141757</v>
      </c>
      <c r="CG57" s="62">
        <f t="shared" si="44"/>
        <v>0.51328168234643057</v>
      </c>
      <c r="CH57" s="62">
        <f t="shared" si="45"/>
        <v>0.64993026499302653</v>
      </c>
      <c r="CI57" s="62">
        <f t="shared" si="46"/>
        <v>0.72877899566658166</v>
      </c>
      <c r="CJ57" s="66">
        <f t="shared" si="47"/>
        <v>0.54746027825800614</v>
      </c>
      <c r="CK57" s="62">
        <f t="shared" si="123"/>
        <v>0.58998244903469699</v>
      </c>
      <c r="CL57" s="62">
        <f t="shared" si="123"/>
        <v>0.70904814609850575</v>
      </c>
      <c r="CM57" s="62">
        <f t="shared" si="123"/>
        <v>0.79349721059972111</v>
      </c>
      <c r="CN57" s="62">
        <f t="shared" si="123"/>
        <v>0.84246749936273257</v>
      </c>
      <c r="CO57" s="67">
        <f t="shared" si="49"/>
        <v>0.71422985099201441</v>
      </c>
      <c r="CP57" s="48"/>
    </row>
    <row r="58" spans="1:94" ht="30.75" customHeight="1" x14ac:dyDescent="0.3">
      <c r="A58" s="49">
        <v>43</v>
      </c>
      <c r="B58" s="50" t="s">
        <v>95</v>
      </c>
      <c r="C58" s="50" t="s">
        <v>97</v>
      </c>
      <c r="D58" s="51">
        <v>46143</v>
      </c>
      <c r="E58" s="52">
        <v>212</v>
      </c>
      <c r="F58" s="52">
        <v>192</v>
      </c>
      <c r="G58" s="53">
        <f t="shared" si="1"/>
        <v>0.90566037735849059</v>
      </c>
      <c r="H58" s="52">
        <v>6455</v>
      </c>
      <c r="I58" s="52">
        <v>5988</v>
      </c>
      <c r="J58" s="52">
        <v>5216</v>
      </c>
      <c r="K58" s="52">
        <v>4122</v>
      </c>
      <c r="L58" s="54">
        <f t="shared" si="3"/>
        <v>21781</v>
      </c>
      <c r="M58" s="52">
        <v>4863</v>
      </c>
      <c r="N58" s="52">
        <v>4455</v>
      </c>
      <c r="O58" s="52">
        <v>3867</v>
      </c>
      <c r="P58" s="52">
        <v>2961</v>
      </c>
      <c r="Q58" s="54">
        <f t="shared" si="5"/>
        <v>16146</v>
      </c>
      <c r="R58" s="52">
        <v>118</v>
      </c>
      <c r="S58" s="52">
        <v>20</v>
      </c>
      <c r="T58" s="52">
        <v>4</v>
      </c>
      <c r="U58" s="52">
        <v>0</v>
      </c>
      <c r="V58" s="55">
        <f t="shared" si="7"/>
        <v>142</v>
      </c>
      <c r="W58" s="52">
        <v>557</v>
      </c>
      <c r="X58" s="52">
        <v>151</v>
      </c>
      <c r="Y58" s="52">
        <v>66</v>
      </c>
      <c r="Z58" s="52">
        <v>18</v>
      </c>
      <c r="AA58" s="55">
        <f t="shared" si="9"/>
        <v>792</v>
      </c>
      <c r="AB58" s="52">
        <v>1523</v>
      </c>
      <c r="AC58" s="52">
        <v>776</v>
      </c>
      <c r="AD58" s="52">
        <v>324</v>
      </c>
      <c r="AE58" s="52">
        <v>157</v>
      </c>
      <c r="AF58" s="55">
        <f t="shared" si="11"/>
        <v>2780</v>
      </c>
      <c r="AG58" s="52">
        <v>2665</v>
      </c>
      <c r="AH58" s="52">
        <v>3508</v>
      </c>
      <c r="AI58" s="52">
        <v>3473</v>
      </c>
      <c r="AJ58" s="52">
        <v>2786</v>
      </c>
      <c r="AK58" s="55">
        <f t="shared" si="13"/>
        <v>12432</v>
      </c>
      <c r="AL58" s="56">
        <f t="shared" si="14"/>
        <v>0.31318116389060252</v>
      </c>
      <c r="AM58" s="56">
        <f t="shared" si="15"/>
        <v>0.17418630751964084</v>
      </c>
      <c r="AN58" s="56">
        <f t="shared" si="16"/>
        <v>8.3785880527540726E-2</v>
      </c>
      <c r="AO58" s="56">
        <f t="shared" si="17"/>
        <v>5.3022627490712598E-2</v>
      </c>
      <c r="AP58" s="57">
        <f t="shared" si="18"/>
        <v>0.17217886783104175</v>
      </c>
      <c r="AQ58" s="56">
        <f t="shared" si="19"/>
        <v>0.54801562821303718</v>
      </c>
      <c r="AR58" s="56">
        <f t="shared" si="20"/>
        <v>0.78742985409652078</v>
      </c>
      <c r="AS58" s="56">
        <f t="shared" si="21"/>
        <v>0.89811223170416343</v>
      </c>
      <c r="AT58" s="56">
        <f t="shared" si="22"/>
        <v>0.94089834515366433</v>
      </c>
      <c r="AU58" s="57">
        <f t="shared" si="23"/>
        <v>0.76997398736529177</v>
      </c>
      <c r="AV58" s="52">
        <v>3716</v>
      </c>
      <c r="AW58" s="52">
        <v>3874</v>
      </c>
      <c r="AX58" s="52">
        <v>3598</v>
      </c>
      <c r="AY58" s="52">
        <v>2819</v>
      </c>
      <c r="AZ58" s="58">
        <f t="shared" si="25"/>
        <v>14007</v>
      </c>
      <c r="BA58" s="52">
        <v>3335</v>
      </c>
      <c r="BB58" s="52">
        <v>3480</v>
      </c>
      <c r="BC58" s="52">
        <v>3394</v>
      </c>
      <c r="BD58" s="52">
        <v>2768</v>
      </c>
      <c r="BE58" s="59">
        <f t="shared" si="27"/>
        <v>12977</v>
      </c>
      <c r="BF58" s="52">
        <v>2036</v>
      </c>
      <c r="BG58" s="52">
        <v>2707</v>
      </c>
      <c r="BH58" s="52">
        <v>2824</v>
      </c>
      <c r="BI58" s="52">
        <v>2399</v>
      </c>
      <c r="BJ58" s="60">
        <f t="shared" si="29"/>
        <v>9966</v>
      </c>
      <c r="BK58" s="52">
        <v>1720</v>
      </c>
      <c r="BL58" s="52">
        <v>2464</v>
      </c>
      <c r="BM58" s="52">
        <v>2651</v>
      </c>
      <c r="BN58" s="52">
        <v>2314</v>
      </c>
      <c r="BO58" s="55">
        <f t="shared" si="31"/>
        <v>9149</v>
      </c>
      <c r="BP58" s="61"/>
      <c r="BQ58" s="62">
        <f t="shared" si="51"/>
        <v>0.76413736376722186</v>
      </c>
      <c r="BR58" s="62">
        <f t="shared" si="52"/>
        <v>0.86958473625140287</v>
      </c>
      <c r="BS58" s="62">
        <f t="shared" si="53"/>
        <v>0.930437031290406</v>
      </c>
      <c r="BT58" s="62">
        <f t="shared" si="54"/>
        <v>0.95204322863897328</v>
      </c>
      <c r="BU58" s="63">
        <f t="shared" si="32"/>
        <v>0.86752136752136755</v>
      </c>
      <c r="BV58" s="62">
        <f t="shared" si="33"/>
        <v>0.6857906641990541</v>
      </c>
      <c r="BW58" s="62">
        <f t="shared" si="34"/>
        <v>0.78114478114478114</v>
      </c>
      <c r="BX58" s="62">
        <f t="shared" si="35"/>
        <v>0.87768295836565813</v>
      </c>
      <c r="BY58" s="62">
        <f t="shared" si="36"/>
        <v>0.93481931779804117</v>
      </c>
      <c r="BZ58" s="64">
        <f t="shared" si="37"/>
        <v>0.80372847764152111</v>
      </c>
      <c r="CA58" s="62">
        <f t="shared" si="38"/>
        <v>0.41867160189183633</v>
      </c>
      <c r="CB58" s="62">
        <f t="shared" si="39"/>
        <v>0.60763187429854093</v>
      </c>
      <c r="CC58" s="62">
        <f t="shared" si="40"/>
        <v>0.73028187225239205</v>
      </c>
      <c r="CD58" s="62">
        <f t="shared" si="41"/>
        <v>0.81019925700776763</v>
      </c>
      <c r="CE58" s="65">
        <f t="shared" si="42"/>
        <v>0.6172426607209216</v>
      </c>
      <c r="CF58" s="62">
        <f t="shared" si="43"/>
        <v>0.35369113715813283</v>
      </c>
      <c r="CG58" s="62">
        <f t="shared" si="44"/>
        <v>0.55308641975308637</v>
      </c>
      <c r="CH58" s="62">
        <f t="shared" si="45"/>
        <v>0.6855443496250323</v>
      </c>
      <c r="CI58" s="62">
        <f t="shared" si="46"/>
        <v>0.7814927389395474</v>
      </c>
      <c r="CJ58" s="66">
        <f t="shared" si="47"/>
        <v>0.56664189272884924</v>
      </c>
      <c r="CK58" s="62">
        <f t="shared" si="123"/>
        <v>0.55557269175406132</v>
      </c>
      <c r="CL58" s="62">
        <f t="shared" si="123"/>
        <v>0.70286195286195285</v>
      </c>
      <c r="CM58" s="62">
        <f t="shared" si="123"/>
        <v>0.80598655288337206</v>
      </c>
      <c r="CN58" s="62">
        <f t="shared" si="123"/>
        <v>0.86963863559608245</v>
      </c>
      <c r="CO58" s="67">
        <f t="shared" si="49"/>
        <v>0.71378359965316485</v>
      </c>
      <c r="CP58" s="48"/>
    </row>
    <row r="59" spans="1:94" ht="30.75" customHeight="1" x14ac:dyDescent="0.3">
      <c r="A59" s="49">
        <v>44</v>
      </c>
      <c r="B59" s="50" t="s">
        <v>95</v>
      </c>
      <c r="C59" s="50" t="s">
        <v>98</v>
      </c>
      <c r="D59" s="90">
        <v>46143</v>
      </c>
      <c r="E59" s="91">
        <v>190</v>
      </c>
      <c r="F59" s="91">
        <v>190</v>
      </c>
      <c r="G59" s="92">
        <f t="shared" si="1"/>
        <v>1</v>
      </c>
      <c r="H59" s="91">
        <v>8386</v>
      </c>
      <c r="I59" s="91">
        <v>7185</v>
      </c>
      <c r="J59" s="91">
        <v>6181</v>
      </c>
      <c r="K59" s="91">
        <v>4372</v>
      </c>
      <c r="L59" s="93">
        <f t="shared" si="3"/>
        <v>26124</v>
      </c>
      <c r="M59" s="91">
        <v>6854</v>
      </c>
      <c r="N59" s="91">
        <v>6455</v>
      </c>
      <c r="O59" s="91">
        <v>5304</v>
      </c>
      <c r="P59" s="91">
        <v>3804</v>
      </c>
      <c r="Q59" s="93">
        <f t="shared" si="5"/>
        <v>22417</v>
      </c>
      <c r="R59" s="91">
        <v>97</v>
      </c>
      <c r="S59" s="91">
        <v>17</v>
      </c>
      <c r="T59" s="91">
        <v>0</v>
      </c>
      <c r="U59" s="91">
        <v>0</v>
      </c>
      <c r="V59" s="94">
        <f t="shared" si="7"/>
        <v>114</v>
      </c>
      <c r="W59" s="91">
        <v>538</v>
      </c>
      <c r="X59" s="91">
        <v>178</v>
      </c>
      <c r="Y59" s="91">
        <v>25</v>
      </c>
      <c r="Z59" s="91">
        <v>0</v>
      </c>
      <c r="AA59" s="94">
        <f t="shared" si="9"/>
        <v>741</v>
      </c>
      <c r="AB59" s="91">
        <v>2159</v>
      </c>
      <c r="AC59" s="91">
        <v>1084</v>
      </c>
      <c r="AD59" s="91">
        <v>346</v>
      </c>
      <c r="AE59" s="91">
        <v>79</v>
      </c>
      <c r="AF59" s="94">
        <f t="shared" si="11"/>
        <v>3668</v>
      </c>
      <c r="AG59" s="91">
        <v>4057</v>
      </c>
      <c r="AH59" s="91">
        <v>5167</v>
      </c>
      <c r="AI59" s="91">
        <v>4895</v>
      </c>
      <c r="AJ59" s="91">
        <v>3725</v>
      </c>
      <c r="AK59" s="94">
        <f t="shared" si="13"/>
        <v>17844</v>
      </c>
      <c r="AL59" s="95">
        <f t="shared" si="14"/>
        <v>0.31499854099795738</v>
      </c>
      <c r="AM59" s="95">
        <f t="shared" si="15"/>
        <v>0.16793183578621224</v>
      </c>
      <c r="AN59" s="95">
        <f t="shared" si="16"/>
        <v>6.523378582202112E-2</v>
      </c>
      <c r="AO59" s="95">
        <f t="shared" si="17"/>
        <v>2.0767613038906414E-2</v>
      </c>
      <c r="AP59" s="96">
        <f t="shared" si="18"/>
        <v>0.16362581969041354</v>
      </c>
      <c r="AQ59" s="95">
        <f t="shared" si="19"/>
        <v>0.59191712868398016</v>
      </c>
      <c r="AR59" s="95">
        <f t="shared" si="20"/>
        <v>0.80046475600309841</v>
      </c>
      <c r="AS59" s="95">
        <f t="shared" si="21"/>
        <v>0.92288838612368029</v>
      </c>
      <c r="AT59" s="95">
        <f t="shared" si="22"/>
        <v>0.9792323869610936</v>
      </c>
      <c r="AU59" s="96">
        <f t="shared" si="23"/>
        <v>0.79600303341214262</v>
      </c>
      <c r="AV59" s="91">
        <v>4579</v>
      </c>
      <c r="AW59" s="91">
        <v>5167</v>
      </c>
      <c r="AX59" s="91">
        <v>4744</v>
      </c>
      <c r="AY59" s="91">
        <v>3602</v>
      </c>
      <c r="AZ59" s="97">
        <f t="shared" si="25"/>
        <v>18092</v>
      </c>
      <c r="BA59" s="91">
        <v>3903</v>
      </c>
      <c r="BB59" s="91">
        <v>4625</v>
      </c>
      <c r="BC59" s="91">
        <v>4463</v>
      </c>
      <c r="BD59" s="91">
        <v>3549</v>
      </c>
      <c r="BE59" s="98">
        <f t="shared" si="27"/>
        <v>16540</v>
      </c>
      <c r="BF59" s="91">
        <v>2342</v>
      </c>
      <c r="BG59" s="91">
        <v>3426</v>
      </c>
      <c r="BH59" s="91">
        <v>3414</v>
      </c>
      <c r="BI59" s="91">
        <v>2874</v>
      </c>
      <c r="BJ59" s="99">
        <f t="shared" si="29"/>
        <v>12056</v>
      </c>
      <c r="BK59" s="91">
        <v>1670</v>
      </c>
      <c r="BL59" s="91">
        <v>2812</v>
      </c>
      <c r="BM59" s="91">
        <v>3192</v>
      </c>
      <c r="BN59" s="91">
        <v>2951</v>
      </c>
      <c r="BO59" s="94">
        <f t="shared" si="31"/>
        <v>10625</v>
      </c>
      <c r="BP59" s="100"/>
      <c r="BQ59" s="101">
        <f t="shared" si="51"/>
        <v>0.66807703530784945</v>
      </c>
      <c r="BR59" s="101">
        <f t="shared" si="52"/>
        <v>0.80046475600309841</v>
      </c>
      <c r="BS59" s="101">
        <f t="shared" si="53"/>
        <v>0.89441930618401211</v>
      </c>
      <c r="BT59" s="101">
        <f t="shared" si="54"/>
        <v>0.94689800210304942</v>
      </c>
      <c r="BU59" s="102">
        <f t="shared" si="32"/>
        <v>0.80706606593210506</v>
      </c>
      <c r="BV59" s="101">
        <f t="shared" si="33"/>
        <v>0.56944849722789614</v>
      </c>
      <c r="BW59" s="101">
        <f t="shared" si="34"/>
        <v>0.71649883810999226</v>
      </c>
      <c r="BX59" s="101">
        <f t="shared" si="35"/>
        <v>0.84144042232277527</v>
      </c>
      <c r="BY59" s="101">
        <f t="shared" si="36"/>
        <v>0.93296529968454256</v>
      </c>
      <c r="BZ59" s="103">
        <f t="shared" si="37"/>
        <v>0.73783289467814606</v>
      </c>
      <c r="CA59" s="101">
        <f t="shared" si="38"/>
        <v>0.3416982783775897</v>
      </c>
      <c r="CB59" s="101">
        <f t="shared" si="39"/>
        <v>0.53075135553834241</v>
      </c>
      <c r="CC59" s="101">
        <f t="shared" si="40"/>
        <v>0.64366515837104077</v>
      </c>
      <c r="CD59" s="101">
        <f t="shared" si="41"/>
        <v>0.75552050473186116</v>
      </c>
      <c r="CE59" s="104">
        <f t="shared" si="42"/>
        <v>0.53780612927688809</v>
      </c>
      <c r="CF59" s="101">
        <f t="shared" si="43"/>
        <v>0.24365334111467757</v>
      </c>
      <c r="CG59" s="101">
        <f t="shared" si="44"/>
        <v>0.43563129357087527</v>
      </c>
      <c r="CH59" s="101">
        <f t="shared" si="45"/>
        <v>0.60180995475113119</v>
      </c>
      <c r="CI59" s="101">
        <f t="shared" si="46"/>
        <v>0.77576235541535221</v>
      </c>
      <c r="CJ59" s="105">
        <f t="shared" si="47"/>
        <v>0.47397064727662042</v>
      </c>
      <c r="CK59" s="101">
        <f t="shared" si="123"/>
        <v>0.45571928800700318</v>
      </c>
      <c r="CL59" s="101">
        <f t="shared" si="123"/>
        <v>0.62083656080557703</v>
      </c>
      <c r="CM59" s="101">
        <f t="shared" si="123"/>
        <v>0.74533371040723984</v>
      </c>
      <c r="CN59" s="101">
        <f t="shared" si="123"/>
        <v>0.85278654048370128</v>
      </c>
      <c r="CO59" s="106">
        <f t="shared" si="49"/>
        <v>0.63916893429093991</v>
      </c>
      <c r="CP59" s="48"/>
    </row>
    <row r="60" spans="1:94" ht="30.75" customHeight="1" x14ac:dyDescent="0.3">
      <c r="A60" s="36" t="s">
        <v>99</v>
      </c>
      <c r="B60" s="37"/>
      <c r="C60" s="38"/>
      <c r="D60" s="39"/>
      <c r="E60" s="40">
        <f t="shared" ref="E60:F60" si="146">SUM(E61:E65)</f>
        <v>460</v>
      </c>
      <c r="F60" s="40">
        <f t="shared" si="146"/>
        <v>417</v>
      </c>
      <c r="G60" s="41">
        <f t="shared" si="1"/>
        <v>0.90652173913043477</v>
      </c>
      <c r="H60" s="40">
        <f t="shared" ref="H60:K60" si="147">SUM(H61:H65)</f>
        <v>14851</v>
      </c>
      <c r="I60" s="40">
        <f t="shared" si="147"/>
        <v>10260</v>
      </c>
      <c r="J60" s="40">
        <f t="shared" si="147"/>
        <v>5760</v>
      </c>
      <c r="K60" s="40">
        <f t="shared" si="147"/>
        <v>3282</v>
      </c>
      <c r="L60" s="42">
        <f t="shared" si="3"/>
        <v>34153</v>
      </c>
      <c r="M60" s="40">
        <f t="shared" ref="M60:P60" si="148">SUM(M61:M65)</f>
        <v>13691</v>
      </c>
      <c r="N60" s="40">
        <f t="shared" si="148"/>
        <v>9599</v>
      </c>
      <c r="O60" s="40">
        <f t="shared" si="148"/>
        <v>5405</v>
      </c>
      <c r="P60" s="40">
        <f t="shared" si="148"/>
        <v>3104</v>
      </c>
      <c r="Q60" s="42">
        <f t="shared" si="5"/>
        <v>31799</v>
      </c>
      <c r="R60" s="40">
        <f t="shared" ref="R60:U60" si="149">SUM(R61:R65)</f>
        <v>130</v>
      </c>
      <c r="S60" s="40">
        <f t="shared" si="149"/>
        <v>18</v>
      </c>
      <c r="T60" s="40">
        <f t="shared" si="149"/>
        <v>8</v>
      </c>
      <c r="U60" s="40">
        <f t="shared" si="149"/>
        <v>0</v>
      </c>
      <c r="V60" s="43">
        <f t="shared" si="7"/>
        <v>156</v>
      </c>
      <c r="W60" s="40">
        <f t="shared" ref="W60:Z60" si="150">SUM(W61:W65)</f>
        <v>671</v>
      </c>
      <c r="X60" s="40">
        <f t="shared" si="150"/>
        <v>238</v>
      </c>
      <c r="Y60" s="40">
        <f t="shared" si="150"/>
        <v>29</v>
      </c>
      <c r="Z60" s="40">
        <f t="shared" si="150"/>
        <v>0</v>
      </c>
      <c r="AA60" s="43">
        <f t="shared" si="9"/>
        <v>938</v>
      </c>
      <c r="AB60" s="40">
        <f t="shared" ref="AB60:AE60" si="151">SUM(AB61:AB65)</f>
        <v>3714</v>
      </c>
      <c r="AC60" s="40">
        <f t="shared" si="151"/>
        <v>1825</v>
      </c>
      <c r="AD60" s="40">
        <f t="shared" si="151"/>
        <v>592</v>
      </c>
      <c r="AE60" s="40">
        <f t="shared" si="151"/>
        <v>184</v>
      </c>
      <c r="AF60" s="43">
        <f t="shared" si="11"/>
        <v>6315</v>
      </c>
      <c r="AG60" s="40">
        <f t="shared" ref="AG60:AJ60" si="152">SUM(AG61:AG65)</f>
        <v>9177</v>
      </c>
      <c r="AH60" s="40">
        <f t="shared" si="152"/>
        <v>7519</v>
      </c>
      <c r="AI60" s="40">
        <f t="shared" si="152"/>
        <v>4776</v>
      </c>
      <c r="AJ60" s="40">
        <f t="shared" si="152"/>
        <v>2873</v>
      </c>
      <c r="AK60" s="43">
        <f t="shared" si="13"/>
        <v>24345</v>
      </c>
      <c r="AL60" s="44">
        <f t="shared" si="14"/>
        <v>0.27127309911620773</v>
      </c>
      <c r="AM60" s="44">
        <f t="shared" si="15"/>
        <v>0.19012397124700489</v>
      </c>
      <c r="AN60" s="44">
        <f t="shared" si="16"/>
        <v>0.1095282146160962</v>
      </c>
      <c r="AO60" s="44">
        <f t="shared" si="17"/>
        <v>5.9278350515463915E-2</v>
      </c>
      <c r="AP60" s="44">
        <f t="shared" si="18"/>
        <v>0.19859115066511526</v>
      </c>
      <c r="AQ60" s="44">
        <f t="shared" si="19"/>
        <v>0.67029435395515302</v>
      </c>
      <c r="AR60" s="44">
        <f t="shared" si="20"/>
        <v>0.78331076153766022</v>
      </c>
      <c r="AS60" s="44">
        <f t="shared" si="21"/>
        <v>0.88362627197039778</v>
      </c>
      <c r="AT60" s="44">
        <f t="shared" si="22"/>
        <v>0.92557989690721654</v>
      </c>
      <c r="AU60" s="44">
        <f t="shared" si="23"/>
        <v>0.76559011289663192</v>
      </c>
      <c r="AV60" s="40">
        <f t="shared" ref="AV60:AY60" si="153">SUM(AV61:AV65)</f>
        <v>10871</v>
      </c>
      <c r="AW60" s="40">
        <f t="shared" si="153"/>
        <v>8098</v>
      </c>
      <c r="AX60" s="40">
        <f t="shared" si="153"/>
        <v>4752</v>
      </c>
      <c r="AY60" s="40">
        <f t="shared" si="153"/>
        <v>2667</v>
      </c>
      <c r="AZ60" s="43">
        <f t="shared" si="25"/>
        <v>26388</v>
      </c>
      <c r="BA60" s="40">
        <f t="shared" ref="BA60:BD60" si="154">SUM(BA61:BA65)</f>
        <v>10018</v>
      </c>
      <c r="BB60" s="40">
        <f t="shared" si="154"/>
        <v>7518</v>
      </c>
      <c r="BC60" s="40">
        <f t="shared" si="154"/>
        <v>4476</v>
      </c>
      <c r="BD60" s="40">
        <f t="shared" si="154"/>
        <v>2587</v>
      </c>
      <c r="BE60" s="43">
        <f t="shared" si="27"/>
        <v>24599</v>
      </c>
      <c r="BF60" s="40">
        <f t="shared" ref="BF60:BI60" si="155">SUM(BF61:BF65)</f>
        <v>7372</v>
      </c>
      <c r="BG60" s="40">
        <f t="shared" si="155"/>
        <v>6248</v>
      </c>
      <c r="BH60" s="40">
        <f t="shared" si="155"/>
        <v>4177</v>
      </c>
      <c r="BI60" s="40">
        <f t="shared" si="155"/>
        <v>2452</v>
      </c>
      <c r="BJ60" s="43">
        <f t="shared" si="29"/>
        <v>20249</v>
      </c>
      <c r="BK60" s="40">
        <f t="shared" ref="BK60:BN60" si="156">SUM(BK61:BK65)</f>
        <v>6016</v>
      </c>
      <c r="BL60" s="40">
        <f t="shared" si="156"/>
        <v>5278</v>
      </c>
      <c r="BM60" s="40">
        <f t="shared" si="156"/>
        <v>3683</v>
      </c>
      <c r="BN60" s="40">
        <f t="shared" si="156"/>
        <v>2265</v>
      </c>
      <c r="BO60" s="43">
        <f t="shared" si="31"/>
        <v>17242</v>
      </c>
      <c r="BP60" s="45"/>
      <c r="BQ60" s="46">
        <f t="shared" si="51"/>
        <v>0.79402527207654661</v>
      </c>
      <c r="BR60" s="46">
        <f t="shared" si="52"/>
        <v>0.84362954474424423</v>
      </c>
      <c r="BS60" s="46">
        <f t="shared" si="53"/>
        <v>0.87918593894542085</v>
      </c>
      <c r="BT60" s="46">
        <f t="shared" si="54"/>
        <v>0.85921391752577314</v>
      </c>
      <c r="BU60" s="46">
        <f t="shared" si="32"/>
        <v>0.82983741627095187</v>
      </c>
      <c r="BV60" s="46">
        <f t="shared" si="33"/>
        <v>0.73172156891388507</v>
      </c>
      <c r="BW60" s="46">
        <f t="shared" si="34"/>
        <v>0.78320658401916865</v>
      </c>
      <c r="BX60" s="46">
        <f t="shared" si="35"/>
        <v>0.82812210915818685</v>
      </c>
      <c r="BY60" s="46">
        <f t="shared" si="36"/>
        <v>0.83344072164948457</v>
      </c>
      <c r="BZ60" s="47">
        <f t="shared" si="37"/>
        <v>0.77357778546495171</v>
      </c>
      <c r="CA60" s="46">
        <f t="shared" si="38"/>
        <v>0.53845591994741071</v>
      </c>
      <c r="CB60" s="46">
        <f t="shared" si="39"/>
        <v>0.65090113553495155</v>
      </c>
      <c r="CC60" s="46">
        <f t="shared" si="40"/>
        <v>0.77280296022201667</v>
      </c>
      <c r="CD60" s="46">
        <f t="shared" si="41"/>
        <v>0.78994845360824739</v>
      </c>
      <c r="CE60" s="47">
        <f t="shared" si="42"/>
        <v>0.63678103085002669</v>
      </c>
      <c r="CF60" s="46">
        <f t="shared" si="43"/>
        <v>0.43941275290336718</v>
      </c>
      <c r="CG60" s="46">
        <f t="shared" si="44"/>
        <v>0.54984894259818728</v>
      </c>
      <c r="CH60" s="46">
        <f t="shared" si="45"/>
        <v>0.68140610545790936</v>
      </c>
      <c r="CI60" s="46">
        <f t="shared" si="46"/>
        <v>0.72970360824742264</v>
      </c>
      <c r="CJ60" s="47">
        <f t="shared" si="47"/>
        <v>0.54221830875184751</v>
      </c>
      <c r="CK60" s="46">
        <f t="shared" si="123"/>
        <v>0.62590387846030238</v>
      </c>
      <c r="CL60" s="46">
        <f t="shared" si="123"/>
        <v>0.7068965517241379</v>
      </c>
      <c r="CM60" s="46">
        <f t="shared" si="123"/>
        <v>0.7903792784458834</v>
      </c>
      <c r="CN60" s="46">
        <f t="shared" si="123"/>
        <v>0.80307667525773185</v>
      </c>
      <c r="CO60" s="47">
        <f>IFERROR((BZ60+CE60+CJ60+BU60)/4,"")</f>
        <v>0.69560363533444436</v>
      </c>
      <c r="CP60" s="48"/>
    </row>
    <row r="61" spans="1:94" ht="30.75" customHeight="1" x14ac:dyDescent="0.3">
      <c r="A61" s="49">
        <v>45</v>
      </c>
      <c r="B61" s="50" t="s">
        <v>100</v>
      </c>
      <c r="C61" s="50" t="s">
        <v>101</v>
      </c>
      <c r="D61" s="51">
        <v>46143</v>
      </c>
      <c r="E61" s="52">
        <v>105</v>
      </c>
      <c r="F61" s="52">
        <v>85</v>
      </c>
      <c r="G61" s="53">
        <f t="shared" si="1"/>
        <v>0.80952380952380953</v>
      </c>
      <c r="H61" s="52">
        <v>4078</v>
      </c>
      <c r="I61" s="52">
        <v>2823</v>
      </c>
      <c r="J61" s="52">
        <v>1571</v>
      </c>
      <c r="K61" s="52">
        <v>1163</v>
      </c>
      <c r="L61" s="54">
        <f t="shared" si="3"/>
        <v>9635</v>
      </c>
      <c r="M61" s="52">
        <v>4078</v>
      </c>
      <c r="N61" s="52">
        <v>2823</v>
      </c>
      <c r="O61" s="52">
        <v>1561</v>
      </c>
      <c r="P61" s="52">
        <v>1163</v>
      </c>
      <c r="Q61" s="54">
        <f t="shared" si="5"/>
        <v>9625</v>
      </c>
      <c r="R61" s="52">
        <v>31</v>
      </c>
      <c r="S61" s="52">
        <v>5</v>
      </c>
      <c r="T61" s="52">
        <v>0</v>
      </c>
      <c r="U61" s="52">
        <v>0</v>
      </c>
      <c r="V61" s="55">
        <f t="shared" si="7"/>
        <v>36</v>
      </c>
      <c r="W61" s="52">
        <v>409</v>
      </c>
      <c r="X61" s="52">
        <v>165</v>
      </c>
      <c r="Y61" s="52">
        <v>20</v>
      </c>
      <c r="Z61" s="52">
        <v>0</v>
      </c>
      <c r="AA61" s="55">
        <f t="shared" si="9"/>
        <v>594</v>
      </c>
      <c r="AB61" s="52">
        <v>1750</v>
      </c>
      <c r="AC61" s="52">
        <v>1132</v>
      </c>
      <c r="AD61" s="52">
        <v>418</v>
      </c>
      <c r="AE61" s="52">
        <v>160</v>
      </c>
      <c r="AF61" s="55">
        <f t="shared" si="11"/>
        <v>3460</v>
      </c>
      <c r="AG61" s="52">
        <v>1888</v>
      </c>
      <c r="AH61" s="52">
        <v>1521</v>
      </c>
      <c r="AI61" s="52">
        <v>1123</v>
      </c>
      <c r="AJ61" s="52">
        <v>956</v>
      </c>
      <c r="AK61" s="55">
        <f t="shared" si="13"/>
        <v>5488</v>
      </c>
      <c r="AL61" s="56">
        <f t="shared" si="14"/>
        <v>0.42913192741539968</v>
      </c>
      <c r="AM61" s="56">
        <f t="shared" si="15"/>
        <v>0.40099185263903647</v>
      </c>
      <c r="AN61" s="56">
        <f t="shared" si="16"/>
        <v>0.267777065983344</v>
      </c>
      <c r="AO61" s="56">
        <f t="shared" si="17"/>
        <v>0.13757523645743766</v>
      </c>
      <c r="AP61" s="57">
        <f t="shared" si="18"/>
        <v>0.35948051948051946</v>
      </c>
      <c r="AQ61" s="56">
        <f t="shared" si="19"/>
        <v>0.46297204512015694</v>
      </c>
      <c r="AR61" s="56">
        <f t="shared" si="20"/>
        <v>0.53878852284803402</v>
      </c>
      <c r="AS61" s="56">
        <f t="shared" si="21"/>
        <v>0.71941063420884044</v>
      </c>
      <c r="AT61" s="56">
        <f t="shared" si="22"/>
        <v>0.82201203783318999</v>
      </c>
      <c r="AU61" s="57">
        <f t="shared" si="23"/>
        <v>0.57018181818181823</v>
      </c>
      <c r="AV61" s="52">
        <v>2881</v>
      </c>
      <c r="AW61" s="52">
        <v>1967</v>
      </c>
      <c r="AX61" s="52">
        <v>1036</v>
      </c>
      <c r="AY61" s="52">
        <v>775</v>
      </c>
      <c r="AZ61" s="58">
        <f t="shared" si="25"/>
        <v>6659</v>
      </c>
      <c r="BA61" s="52">
        <v>2613</v>
      </c>
      <c r="BB61" s="52">
        <v>1800</v>
      </c>
      <c r="BC61" s="52">
        <v>952</v>
      </c>
      <c r="BD61" s="52">
        <v>728</v>
      </c>
      <c r="BE61" s="59">
        <f t="shared" si="27"/>
        <v>6093</v>
      </c>
      <c r="BF61" s="52">
        <v>1509</v>
      </c>
      <c r="BG61" s="52">
        <v>1241</v>
      </c>
      <c r="BH61" s="52">
        <v>748</v>
      </c>
      <c r="BI61" s="52">
        <v>626</v>
      </c>
      <c r="BJ61" s="60">
        <f t="shared" si="29"/>
        <v>4124</v>
      </c>
      <c r="BK61" s="52">
        <v>1297</v>
      </c>
      <c r="BL61" s="52">
        <v>1099</v>
      </c>
      <c r="BM61" s="52">
        <v>694</v>
      </c>
      <c r="BN61" s="52">
        <v>561</v>
      </c>
      <c r="BO61" s="55">
        <f t="shared" si="31"/>
        <v>3651</v>
      </c>
      <c r="BP61" s="61"/>
      <c r="BQ61" s="62">
        <f t="shared" si="51"/>
        <v>0.70647376164786657</v>
      </c>
      <c r="BR61" s="62">
        <f t="shared" si="52"/>
        <v>0.69677647892313144</v>
      </c>
      <c r="BS61" s="62">
        <f t="shared" si="53"/>
        <v>0.66367713004484308</v>
      </c>
      <c r="BT61" s="62">
        <f t="shared" si="54"/>
        <v>0.66638005159071367</v>
      </c>
      <c r="BU61" s="63">
        <f t="shared" si="32"/>
        <v>0.69184415584415582</v>
      </c>
      <c r="BV61" s="62">
        <f t="shared" si="33"/>
        <v>0.64075527219225115</v>
      </c>
      <c r="BW61" s="62">
        <f t="shared" si="34"/>
        <v>0.6376195536663124</v>
      </c>
      <c r="BX61" s="62">
        <f t="shared" si="35"/>
        <v>0.60986547085201792</v>
      </c>
      <c r="BY61" s="62">
        <f t="shared" si="36"/>
        <v>0.62596732588134141</v>
      </c>
      <c r="BZ61" s="64">
        <f t="shared" si="37"/>
        <v>0.63303896103896107</v>
      </c>
      <c r="CA61" s="62">
        <f t="shared" si="38"/>
        <v>0.37003433055419321</v>
      </c>
      <c r="CB61" s="62">
        <f t="shared" si="39"/>
        <v>0.4396032589443854</v>
      </c>
      <c r="CC61" s="62">
        <f t="shared" si="40"/>
        <v>0.47918001281229983</v>
      </c>
      <c r="CD61" s="62">
        <f t="shared" si="41"/>
        <v>0.53826311263972482</v>
      </c>
      <c r="CE61" s="65">
        <f t="shared" si="42"/>
        <v>0.42846753246753244</v>
      </c>
      <c r="CF61" s="62">
        <f t="shared" si="43"/>
        <v>0.3180480627758705</v>
      </c>
      <c r="CG61" s="62">
        <f t="shared" si="44"/>
        <v>0.38930216082182073</v>
      </c>
      <c r="CH61" s="62">
        <f t="shared" si="45"/>
        <v>0.44458680333119793</v>
      </c>
      <c r="CI61" s="62">
        <f t="shared" si="46"/>
        <v>0.48237317282889081</v>
      </c>
      <c r="CJ61" s="66">
        <f t="shared" si="47"/>
        <v>0.37932467532467534</v>
      </c>
      <c r="CK61" s="62">
        <f t="shared" si="123"/>
        <v>0.50882785679254539</v>
      </c>
      <c r="CL61" s="62">
        <f t="shared" si="123"/>
        <v>0.54082536308891249</v>
      </c>
      <c r="CM61" s="62">
        <f t="shared" si="123"/>
        <v>0.54932735426008972</v>
      </c>
      <c r="CN61" s="62">
        <f t="shared" si="123"/>
        <v>0.5782459157351677</v>
      </c>
      <c r="CO61" s="67">
        <f t="shared" si="49"/>
        <v>0.53316883116883118</v>
      </c>
      <c r="CP61" s="48"/>
    </row>
    <row r="62" spans="1:94" ht="30.75" customHeight="1" x14ac:dyDescent="0.3">
      <c r="A62" s="49">
        <v>46</v>
      </c>
      <c r="B62" s="50" t="s">
        <v>100</v>
      </c>
      <c r="C62" s="50" t="s">
        <v>102</v>
      </c>
      <c r="D62" s="51">
        <v>46143</v>
      </c>
      <c r="E62" s="52">
        <v>135</v>
      </c>
      <c r="F62" s="52">
        <v>131</v>
      </c>
      <c r="G62" s="53">
        <f t="shared" si="1"/>
        <v>0.97037037037037033</v>
      </c>
      <c r="H62" s="52">
        <v>3107</v>
      </c>
      <c r="I62" s="52">
        <v>2301</v>
      </c>
      <c r="J62" s="52">
        <v>1277</v>
      </c>
      <c r="K62" s="52">
        <v>636</v>
      </c>
      <c r="L62" s="54">
        <f t="shared" si="3"/>
        <v>7321</v>
      </c>
      <c r="M62" s="52">
        <v>2956</v>
      </c>
      <c r="N62" s="52">
        <v>2215</v>
      </c>
      <c r="O62" s="52">
        <v>1192</v>
      </c>
      <c r="P62" s="52">
        <v>543</v>
      </c>
      <c r="Q62" s="54">
        <f t="shared" si="5"/>
        <v>6906</v>
      </c>
      <c r="R62" s="52">
        <v>0</v>
      </c>
      <c r="S62" s="52">
        <v>0</v>
      </c>
      <c r="T62" s="52">
        <v>0</v>
      </c>
      <c r="U62" s="52">
        <v>0</v>
      </c>
      <c r="V62" s="55">
        <f t="shared" si="7"/>
        <v>0</v>
      </c>
      <c r="W62" s="52">
        <v>0</v>
      </c>
      <c r="X62" s="52">
        <v>0</v>
      </c>
      <c r="Y62" s="52">
        <v>0</v>
      </c>
      <c r="Z62" s="52">
        <v>0</v>
      </c>
      <c r="AA62" s="55">
        <f t="shared" si="9"/>
        <v>0</v>
      </c>
      <c r="AB62" s="52">
        <v>389</v>
      </c>
      <c r="AC62" s="52">
        <v>4</v>
      </c>
      <c r="AD62" s="52">
        <v>0</v>
      </c>
      <c r="AE62" s="52">
        <v>0</v>
      </c>
      <c r="AF62" s="55">
        <f t="shared" si="11"/>
        <v>393</v>
      </c>
      <c r="AG62" s="52">
        <v>2567</v>
      </c>
      <c r="AH62" s="52">
        <v>2211</v>
      </c>
      <c r="AI62" s="52">
        <v>1192</v>
      </c>
      <c r="AJ62" s="52">
        <v>543</v>
      </c>
      <c r="AK62" s="55">
        <f t="shared" si="13"/>
        <v>6513</v>
      </c>
      <c r="AL62" s="56">
        <f t="shared" si="14"/>
        <v>0.13159675236806495</v>
      </c>
      <c r="AM62" s="56">
        <f t="shared" si="15"/>
        <v>1.8058690744920992E-3</v>
      </c>
      <c r="AN62" s="56">
        <f t="shared" si="16"/>
        <v>0</v>
      </c>
      <c r="AO62" s="56">
        <f t="shared" si="17"/>
        <v>0</v>
      </c>
      <c r="AP62" s="57">
        <f t="shared" si="18"/>
        <v>5.690703735881842E-2</v>
      </c>
      <c r="AQ62" s="56">
        <f t="shared" si="19"/>
        <v>0.86840324763193499</v>
      </c>
      <c r="AR62" s="56">
        <f t="shared" si="20"/>
        <v>0.99819413092550791</v>
      </c>
      <c r="AS62" s="56">
        <f t="shared" si="21"/>
        <v>1</v>
      </c>
      <c r="AT62" s="56">
        <f t="shared" si="22"/>
        <v>1</v>
      </c>
      <c r="AU62" s="57">
        <f t="shared" si="23"/>
        <v>0.94309296264118159</v>
      </c>
      <c r="AV62" s="52">
        <v>2595</v>
      </c>
      <c r="AW62" s="52">
        <v>2127</v>
      </c>
      <c r="AX62" s="52">
        <v>1186</v>
      </c>
      <c r="AY62" s="52">
        <v>543</v>
      </c>
      <c r="AZ62" s="58">
        <f t="shared" si="25"/>
        <v>6451</v>
      </c>
      <c r="BA62" s="52">
        <v>2536</v>
      </c>
      <c r="BB62" s="52">
        <v>2111</v>
      </c>
      <c r="BC62" s="52">
        <v>1183</v>
      </c>
      <c r="BD62" s="52">
        <v>543</v>
      </c>
      <c r="BE62" s="59">
        <f t="shared" si="27"/>
        <v>6373</v>
      </c>
      <c r="BF62" s="52">
        <v>1934</v>
      </c>
      <c r="BG62" s="52">
        <v>1809</v>
      </c>
      <c r="BH62" s="52">
        <v>1140</v>
      </c>
      <c r="BI62" s="52">
        <v>537</v>
      </c>
      <c r="BJ62" s="60">
        <f t="shared" si="29"/>
        <v>5420</v>
      </c>
      <c r="BK62" s="52">
        <v>1482</v>
      </c>
      <c r="BL62" s="52">
        <v>1527</v>
      </c>
      <c r="BM62" s="52">
        <v>1077</v>
      </c>
      <c r="BN62" s="52">
        <v>509</v>
      </c>
      <c r="BO62" s="55">
        <f t="shared" si="31"/>
        <v>4595</v>
      </c>
      <c r="BP62" s="61"/>
      <c r="BQ62" s="62">
        <f t="shared" si="51"/>
        <v>0.87787550744248988</v>
      </c>
      <c r="BR62" s="62">
        <f t="shared" si="52"/>
        <v>0.96027088036117381</v>
      </c>
      <c r="BS62" s="62">
        <f t="shared" si="53"/>
        <v>0.99496644295302017</v>
      </c>
      <c r="BT62" s="62">
        <f t="shared" si="54"/>
        <v>1</v>
      </c>
      <c r="BU62" s="63">
        <f t="shared" si="32"/>
        <v>0.93411526209093543</v>
      </c>
      <c r="BV62" s="62">
        <f t="shared" si="33"/>
        <v>0.85791610284167796</v>
      </c>
      <c r="BW62" s="62">
        <f t="shared" si="34"/>
        <v>0.95304740406320543</v>
      </c>
      <c r="BX62" s="62">
        <f t="shared" si="35"/>
        <v>0.9924496644295302</v>
      </c>
      <c r="BY62" s="62">
        <f t="shared" si="36"/>
        <v>1</v>
      </c>
      <c r="BZ62" s="64">
        <f t="shared" si="37"/>
        <v>0.92282073559223865</v>
      </c>
      <c r="CA62" s="62">
        <f t="shared" si="38"/>
        <v>0.65426251691474968</v>
      </c>
      <c r="CB62" s="62">
        <f t="shared" si="39"/>
        <v>0.81670428893905189</v>
      </c>
      <c r="CC62" s="62">
        <f t="shared" si="40"/>
        <v>0.9563758389261745</v>
      </c>
      <c r="CD62" s="62">
        <f t="shared" si="41"/>
        <v>0.98895027624309395</v>
      </c>
      <c r="CE62" s="65">
        <f t="shared" si="42"/>
        <v>0.78482479003764838</v>
      </c>
      <c r="CF62" s="62">
        <f t="shared" si="43"/>
        <v>0.50135317997293638</v>
      </c>
      <c r="CG62" s="62">
        <f t="shared" si="44"/>
        <v>0.68939051918735894</v>
      </c>
      <c r="CH62" s="62">
        <f t="shared" si="45"/>
        <v>0.90352348993288589</v>
      </c>
      <c r="CI62" s="62">
        <f t="shared" si="46"/>
        <v>0.93738489871086561</v>
      </c>
      <c r="CJ62" s="66">
        <f t="shared" si="47"/>
        <v>0.66536345207066316</v>
      </c>
      <c r="CK62" s="62">
        <f t="shared" si="123"/>
        <v>0.72285182679296356</v>
      </c>
      <c r="CL62" s="62">
        <f t="shared" si="123"/>
        <v>0.85485327313769754</v>
      </c>
      <c r="CM62" s="62">
        <f t="shared" si="123"/>
        <v>0.96182885906040272</v>
      </c>
      <c r="CN62" s="62">
        <f t="shared" si="123"/>
        <v>0.98158379373848992</v>
      </c>
      <c r="CO62" s="67">
        <f t="shared" si="49"/>
        <v>0.82678105994787143</v>
      </c>
      <c r="CP62" s="48"/>
    </row>
    <row r="63" spans="1:94" ht="30.75" customHeight="1" x14ac:dyDescent="0.3">
      <c r="A63" s="49">
        <v>47</v>
      </c>
      <c r="B63" s="50" t="s">
        <v>100</v>
      </c>
      <c r="C63" s="50" t="s">
        <v>104</v>
      </c>
      <c r="D63" s="51">
        <v>46144</v>
      </c>
      <c r="E63" s="52">
        <v>73</v>
      </c>
      <c r="F63" s="52">
        <v>73</v>
      </c>
      <c r="G63" s="53">
        <f t="shared" si="1"/>
        <v>1</v>
      </c>
      <c r="H63" s="52">
        <v>1804</v>
      </c>
      <c r="I63" s="52">
        <v>1115</v>
      </c>
      <c r="J63" s="52">
        <v>586</v>
      </c>
      <c r="K63" s="52">
        <v>262</v>
      </c>
      <c r="L63" s="54">
        <f t="shared" si="3"/>
        <v>3767</v>
      </c>
      <c r="M63" s="52">
        <v>1708</v>
      </c>
      <c r="N63" s="52">
        <v>1070</v>
      </c>
      <c r="O63" s="52">
        <v>573</v>
      </c>
      <c r="P63" s="52">
        <v>260</v>
      </c>
      <c r="Q63" s="54">
        <f t="shared" si="5"/>
        <v>3611</v>
      </c>
      <c r="R63" s="52">
        <v>12</v>
      </c>
      <c r="S63" s="52">
        <v>0</v>
      </c>
      <c r="T63" s="52">
        <v>0</v>
      </c>
      <c r="U63" s="52">
        <v>0</v>
      </c>
      <c r="V63" s="55">
        <f t="shared" si="7"/>
        <v>12</v>
      </c>
      <c r="W63" s="52">
        <v>80</v>
      </c>
      <c r="X63" s="52">
        <v>5</v>
      </c>
      <c r="Y63" s="52">
        <v>0</v>
      </c>
      <c r="Z63" s="52">
        <v>0</v>
      </c>
      <c r="AA63" s="55">
        <f t="shared" si="9"/>
        <v>85</v>
      </c>
      <c r="AB63" s="52">
        <v>322</v>
      </c>
      <c r="AC63" s="52">
        <v>113</v>
      </c>
      <c r="AD63" s="52">
        <v>38</v>
      </c>
      <c r="AE63" s="52">
        <v>4</v>
      </c>
      <c r="AF63" s="55">
        <f t="shared" si="11"/>
        <v>477</v>
      </c>
      <c r="AG63" s="52">
        <v>1294</v>
      </c>
      <c r="AH63" s="52">
        <v>952</v>
      </c>
      <c r="AI63" s="52">
        <v>535</v>
      </c>
      <c r="AJ63" s="52">
        <v>256</v>
      </c>
      <c r="AK63" s="55">
        <f t="shared" si="13"/>
        <v>3037</v>
      </c>
      <c r="AL63" s="56">
        <f t="shared" si="14"/>
        <v>0.18852459016393441</v>
      </c>
      <c r="AM63" s="56">
        <f t="shared" si="15"/>
        <v>0.10560747663551402</v>
      </c>
      <c r="AN63" s="56">
        <f t="shared" si="16"/>
        <v>6.6317626527050616E-2</v>
      </c>
      <c r="AO63" s="56">
        <f t="shared" si="17"/>
        <v>1.5384615384615385E-2</v>
      </c>
      <c r="AP63" s="57">
        <f t="shared" si="18"/>
        <v>0.13209637219606757</v>
      </c>
      <c r="AQ63" s="56">
        <f t="shared" si="19"/>
        <v>0.75761124121779855</v>
      </c>
      <c r="AR63" s="56">
        <f t="shared" si="20"/>
        <v>0.88971962616822431</v>
      </c>
      <c r="AS63" s="56">
        <f t="shared" si="21"/>
        <v>0.93368237347294936</v>
      </c>
      <c r="AT63" s="56">
        <f t="shared" si="22"/>
        <v>0.98461538461538467</v>
      </c>
      <c r="AU63" s="57">
        <f t="shared" si="23"/>
        <v>0.84104126280808644</v>
      </c>
      <c r="AV63" s="52">
        <v>1605</v>
      </c>
      <c r="AW63" s="52">
        <v>1045</v>
      </c>
      <c r="AX63" s="52">
        <v>571</v>
      </c>
      <c r="AY63" s="52">
        <v>255</v>
      </c>
      <c r="AZ63" s="58">
        <f t="shared" si="25"/>
        <v>3476</v>
      </c>
      <c r="BA63" s="52">
        <v>1493</v>
      </c>
      <c r="BB63" s="52">
        <v>1013</v>
      </c>
      <c r="BC63" s="52">
        <v>569</v>
      </c>
      <c r="BD63" s="52">
        <v>255</v>
      </c>
      <c r="BE63" s="59">
        <f t="shared" si="27"/>
        <v>3330</v>
      </c>
      <c r="BF63" s="52">
        <v>1265</v>
      </c>
      <c r="BG63" s="52">
        <v>916</v>
      </c>
      <c r="BH63" s="52">
        <v>535</v>
      </c>
      <c r="BI63" s="52">
        <v>250</v>
      </c>
      <c r="BJ63" s="60">
        <f t="shared" si="29"/>
        <v>2966</v>
      </c>
      <c r="BK63" s="52">
        <v>1067</v>
      </c>
      <c r="BL63" s="52">
        <v>779</v>
      </c>
      <c r="BM63" s="52">
        <v>488</v>
      </c>
      <c r="BN63" s="52">
        <v>241</v>
      </c>
      <c r="BO63" s="55">
        <f t="shared" si="31"/>
        <v>2575</v>
      </c>
      <c r="BP63" s="61"/>
      <c r="BQ63" s="62">
        <f t="shared" si="51"/>
        <v>0.93969555035128804</v>
      </c>
      <c r="BR63" s="62">
        <f t="shared" si="52"/>
        <v>0.97663551401869164</v>
      </c>
      <c r="BS63" s="62">
        <f t="shared" si="53"/>
        <v>0.99650959860383947</v>
      </c>
      <c r="BT63" s="62">
        <f t="shared" si="54"/>
        <v>0.98076923076923073</v>
      </c>
      <c r="BU63" s="63">
        <f t="shared" si="32"/>
        <v>0.96261423428413184</v>
      </c>
      <c r="BV63" s="62">
        <f t="shared" si="33"/>
        <v>0.8741217798594848</v>
      </c>
      <c r="BW63" s="62">
        <f t="shared" si="34"/>
        <v>0.94672897196261685</v>
      </c>
      <c r="BX63" s="62">
        <f t="shared" si="35"/>
        <v>0.99301919720767884</v>
      </c>
      <c r="BY63" s="62">
        <f t="shared" si="36"/>
        <v>0.98076923076923073</v>
      </c>
      <c r="BZ63" s="64">
        <f t="shared" si="37"/>
        <v>0.92218222099141511</v>
      </c>
      <c r="CA63" s="62">
        <f t="shared" si="38"/>
        <v>0.74063231850117095</v>
      </c>
      <c r="CB63" s="62">
        <f t="shared" si="39"/>
        <v>0.85607476635514024</v>
      </c>
      <c r="CC63" s="62">
        <f t="shared" si="40"/>
        <v>0.93368237347294936</v>
      </c>
      <c r="CD63" s="62">
        <f t="shared" si="41"/>
        <v>0.96153846153846156</v>
      </c>
      <c r="CE63" s="65">
        <f t="shared" si="42"/>
        <v>0.82137911935751873</v>
      </c>
      <c r="CF63" s="62">
        <f t="shared" si="43"/>
        <v>0.62470725995316156</v>
      </c>
      <c r="CG63" s="62">
        <f t="shared" si="44"/>
        <v>0.72803738317757005</v>
      </c>
      <c r="CH63" s="62">
        <f t="shared" si="45"/>
        <v>0.85165794066317624</v>
      </c>
      <c r="CI63" s="62">
        <f t="shared" si="46"/>
        <v>0.92692307692307696</v>
      </c>
      <c r="CJ63" s="66">
        <f t="shared" si="47"/>
        <v>0.71309886458044858</v>
      </c>
      <c r="CK63" s="62">
        <f t="shared" si="123"/>
        <v>0.79478922716627631</v>
      </c>
      <c r="CL63" s="62">
        <f t="shared" si="123"/>
        <v>0.8768691588785047</v>
      </c>
      <c r="CM63" s="62">
        <f t="shared" si="123"/>
        <v>0.94371727748691092</v>
      </c>
      <c r="CN63" s="62">
        <f t="shared" si="123"/>
        <v>0.96249999999999991</v>
      </c>
      <c r="CO63" s="67">
        <f t="shared" si="49"/>
        <v>0.85481860980337854</v>
      </c>
      <c r="CP63" s="48"/>
    </row>
    <row r="64" spans="1:94" ht="30.75" customHeight="1" x14ac:dyDescent="0.3">
      <c r="A64" s="49">
        <v>48</v>
      </c>
      <c r="B64" s="50" t="s">
        <v>100</v>
      </c>
      <c r="C64" s="50" t="s">
        <v>105</v>
      </c>
      <c r="D64" s="51">
        <v>46143</v>
      </c>
      <c r="E64" s="52">
        <v>64</v>
      </c>
      <c r="F64" s="52">
        <v>62</v>
      </c>
      <c r="G64" s="53">
        <f t="shared" si="1"/>
        <v>0.96875</v>
      </c>
      <c r="H64" s="52">
        <v>2039</v>
      </c>
      <c r="I64" s="52">
        <v>1220</v>
      </c>
      <c r="J64" s="52">
        <v>781</v>
      </c>
      <c r="K64" s="52">
        <v>349</v>
      </c>
      <c r="L64" s="54">
        <f t="shared" si="3"/>
        <v>4389</v>
      </c>
      <c r="M64" s="52">
        <v>1915</v>
      </c>
      <c r="N64" s="52">
        <v>1145</v>
      </c>
      <c r="O64" s="52">
        <v>743</v>
      </c>
      <c r="P64" s="52">
        <v>330</v>
      </c>
      <c r="Q64" s="54">
        <f t="shared" si="5"/>
        <v>4133</v>
      </c>
      <c r="R64" s="52">
        <v>14</v>
      </c>
      <c r="S64" s="52">
        <v>0</v>
      </c>
      <c r="T64" s="52">
        <v>0</v>
      </c>
      <c r="U64" s="52">
        <v>0</v>
      </c>
      <c r="V64" s="55">
        <f t="shared" si="7"/>
        <v>14</v>
      </c>
      <c r="W64" s="52">
        <v>45</v>
      </c>
      <c r="X64" s="52">
        <v>11</v>
      </c>
      <c r="Y64" s="52">
        <v>2</v>
      </c>
      <c r="Z64" s="52">
        <v>0</v>
      </c>
      <c r="AA64" s="55">
        <f t="shared" si="9"/>
        <v>58</v>
      </c>
      <c r="AB64" s="52">
        <v>351</v>
      </c>
      <c r="AC64" s="52">
        <v>146</v>
      </c>
      <c r="AD64" s="52">
        <v>36</v>
      </c>
      <c r="AE64" s="52">
        <v>0</v>
      </c>
      <c r="AF64" s="55">
        <f t="shared" si="11"/>
        <v>533</v>
      </c>
      <c r="AG64" s="52">
        <v>1506</v>
      </c>
      <c r="AH64" s="52">
        <v>989</v>
      </c>
      <c r="AI64" s="52">
        <v>705</v>
      </c>
      <c r="AJ64" s="52">
        <v>330</v>
      </c>
      <c r="AK64" s="55">
        <f t="shared" si="13"/>
        <v>3530</v>
      </c>
      <c r="AL64" s="56">
        <f t="shared" si="14"/>
        <v>0.18328981723237597</v>
      </c>
      <c r="AM64" s="56">
        <f t="shared" si="15"/>
        <v>0.12751091703056769</v>
      </c>
      <c r="AN64" s="56">
        <f t="shared" si="16"/>
        <v>4.8452220726783311E-2</v>
      </c>
      <c r="AO64" s="56">
        <f t="shared" si="17"/>
        <v>0</v>
      </c>
      <c r="AP64" s="57">
        <f t="shared" si="18"/>
        <v>0.12896201306556981</v>
      </c>
      <c r="AQ64" s="56">
        <f t="shared" si="19"/>
        <v>0.78642297650130544</v>
      </c>
      <c r="AR64" s="56">
        <f t="shared" si="20"/>
        <v>0.86375545851528379</v>
      </c>
      <c r="AS64" s="56">
        <f t="shared" si="21"/>
        <v>0.94885598923283987</v>
      </c>
      <c r="AT64" s="56">
        <f t="shared" si="22"/>
        <v>1</v>
      </c>
      <c r="AU64" s="57">
        <f t="shared" si="23"/>
        <v>0.85410113718848291</v>
      </c>
      <c r="AV64" s="52">
        <v>1616</v>
      </c>
      <c r="AW64" s="52">
        <v>1014</v>
      </c>
      <c r="AX64" s="52">
        <v>715</v>
      </c>
      <c r="AY64" s="52">
        <v>328</v>
      </c>
      <c r="AZ64" s="58">
        <f t="shared" si="25"/>
        <v>3673</v>
      </c>
      <c r="BA64" s="52">
        <v>1438</v>
      </c>
      <c r="BB64" s="52">
        <v>907</v>
      </c>
      <c r="BC64" s="52">
        <v>685</v>
      </c>
      <c r="BD64" s="52">
        <v>326</v>
      </c>
      <c r="BE64" s="59">
        <f t="shared" si="27"/>
        <v>3356</v>
      </c>
      <c r="BF64" s="52">
        <v>1123</v>
      </c>
      <c r="BG64" s="52">
        <v>826</v>
      </c>
      <c r="BH64" s="52">
        <v>671</v>
      </c>
      <c r="BI64" s="52">
        <v>320</v>
      </c>
      <c r="BJ64" s="60">
        <f t="shared" si="29"/>
        <v>2940</v>
      </c>
      <c r="BK64" s="52">
        <v>897</v>
      </c>
      <c r="BL64" s="52">
        <v>628</v>
      </c>
      <c r="BM64" s="52">
        <v>565</v>
      </c>
      <c r="BN64" s="52">
        <v>302</v>
      </c>
      <c r="BO64" s="55">
        <f t="shared" si="31"/>
        <v>2392</v>
      </c>
      <c r="BP64" s="61"/>
      <c r="BQ64" s="62">
        <f t="shared" si="51"/>
        <v>0.84386422976501307</v>
      </c>
      <c r="BR64" s="62">
        <f t="shared" si="52"/>
        <v>0.88558951965065502</v>
      </c>
      <c r="BS64" s="62">
        <f t="shared" si="53"/>
        <v>0.96231493943472413</v>
      </c>
      <c r="BT64" s="62">
        <f t="shared" si="54"/>
        <v>0.9939393939393939</v>
      </c>
      <c r="BU64" s="63">
        <f t="shared" si="32"/>
        <v>0.88870070166948945</v>
      </c>
      <c r="BV64" s="62">
        <f t="shared" si="33"/>
        <v>0.75091383812010448</v>
      </c>
      <c r="BW64" s="62">
        <f t="shared" si="34"/>
        <v>0.79213973799126636</v>
      </c>
      <c r="BX64" s="62">
        <f t="shared" si="35"/>
        <v>0.92193808882907136</v>
      </c>
      <c r="BY64" s="62">
        <f t="shared" si="36"/>
        <v>0.98787878787878791</v>
      </c>
      <c r="BZ64" s="64">
        <f t="shared" si="37"/>
        <v>0.81200096781998543</v>
      </c>
      <c r="CA64" s="62">
        <f t="shared" si="38"/>
        <v>0.58642297650130548</v>
      </c>
      <c r="CB64" s="62">
        <f t="shared" si="39"/>
        <v>0.72139737991266373</v>
      </c>
      <c r="CC64" s="62">
        <f t="shared" si="40"/>
        <v>0.90309555854643342</v>
      </c>
      <c r="CD64" s="62">
        <f t="shared" si="41"/>
        <v>0.96969696969696972</v>
      </c>
      <c r="CE64" s="65">
        <f t="shared" si="42"/>
        <v>0.71134768932978465</v>
      </c>
      <c r="CF64" s="62">
        <f t="shared" si="43"/>
        <v>0.46840731070496083</v>
      </c>
      <c r="CG64" s="62">
        <f t="shared" si="44"/>
        <v>0.54847161572052405</v>
      </c>
      <c r="CH64" s="62">
        <f t="shared" si="45"/>
        <v>0.76043068640646028</v>
      </c>
      <c r="CI64" s="62">
        <f t="shared" si="46"/>
        <v>0.91515151515151516</v>
      </c>
      <c r="CJ64" s="66">
        <f t="shared" si="47"/>
        <v>0.57875635131865477</v>
      </c>
      <c r="CK64" s="62">
        <f t="shared" si="123"/>
        <v>0.66240208877284601</v>
      </c>
      <c r="CL64" s="62">
        <f t="shared" si="123"/>
        <v>0.73689956331877726</v>
      </c>
      <c r="CM64" s="62">
        <f t="shared" si="123"/>
        <v>0.88694481830417238</v>
      </c>
      <c r="CN64" s="62">
        <f t="shared" si="123"/>
        <v>0.96666666666666667</v>
      </c>
      <c r="CO64" s="67">
        <f t="shared" si="49"/>
        <v>0.74770142753447866</v>
      </c>
      <c r="CP64" s="48"/>
    </row>
    <row r="65" spans="1:94" ht="30.75" customHeight="1" x14ac:dyDescent="0.3">
      <c r="A65" s="49">
        <v>49</v>
      </c>
      <c r="B65" s="50" t="s">
        <v>100</v>
      </c>
      <c r="C65" s="50" t="s">
        <v>106</v>
      </c>
      <c r="D65" s="51">
        <v>46143</v>
      </c>
      <c r="E65" s="52">
        <v>83</v>
      </c>
      <c r="F65" s="52">
        <v>66</v>
      </c>
      <c r="G65" s="53">
        <f t="shared" si="1"/>
        <v>0.79518072289156627</v>
      </c>
      <c r="H65" s="52">
        <v>3823</v>
      </c>
      <c r="I65" s="52">
        <v>2801</v>
      </c>
      <c r="J65" s="52">
        <v>1545</v>
      </c>
      <c r="K65" s="52">
        <v>872</v>
      </c>
      <c r="L65" s="54">
        <f t="shared" si="3"/>
        <v>9041</v>
      </c>
      <c r="M65" s="52">
        <v>3034</v>
      </c>
      <c r="N65" s="52">
        <v>2346</v>
      </c>
      <c r="O65" s="52">
        <v>1336</v>
      </c>
      <c r="P65" s="52">
        <v>808</v>
      </c>
      <c r="Q65" s="54">
        <f t="shared" si="5"/>
        <v>7524</v>
      </c>
      <c r="R65" s="52">
        <v>73</v>
      </c>
      <c r="S65" s="52">
        <v>13</v>
      </c>
      <c r="T65" s="52">
        <v>8</v>
      </c>
      <c r="U65" s="52">
        <v>0</v>
      </c>
      <c r="V65" s="55">
        <f t="shared" si="7"/>
        <v>94</v>
      </c>
      <c r="W65" s="52">
        <v>137</v>
      </c>
      <c r="X65" s="52">
        <v>57</v>
      </c>
      <c r="Y65" s="52">
        <v>7</v>
      </c>
      <c r="Z65" s="52">
        <v>0</v>
      </c>
      <c r="AA65" s="55">
        <f t="shared" si="9"/>
        <v>201</v>
      </c>
      <c r="AB65" s="52">
        <v>902</v>
      </c>
      <c r="AC65" s="52">
        <v>430</v>
      </c>
      <c r="AD65" s="52">
        <v>100</v>
      </c>
      <c r="AE65" s="52">
        <v>20</v>
      </c>
      <c r="AF65" s="55">
        <f t="shared" si="11"/>
        <v>1452</v>
      </c>
      <c r="AG65" s="52">
        <v>1922</v>
      </c>
      <c r="AH65" s="52">
        <v>1846</v>
      </c>
      <c r="AI65" s="52">
        <v>1221</v>
      </c>
      <c r="AJ65" s="52">
        <v>788</v>
      </c>
      <c r="AK65" s="55">
        <f t="shared" si="13"/>
        <v>5777</v>
      </c>
      <c r="AL65" s="56">
        <f t="shared" si="14"/>
        <v>0.29729729729729731</v>
      </c>
      <c r="AM65" s="56">
        <f t="shared" si="15"/>
        <v>0.18329070758738278</v>
      </c>
      <c r="AN65" s="56">
        <f t="shared" si="16"/>
        <v>7.4850299401197598E-2</v>
      </c>
      <c r="AO65" s="56">
        <f t="shared" si="17"/>
        <v>2.4752475247524754E-2</v>
      </c>
      <c r="AP65" s="57">
        <f t="shared" si="18"/>
        <v>0.19298245614035087</v>
      </c>
      <c r="AQ65" s="56">
        <f t="shared" si="19"/>
        <v>0.63348714568226761</v>
      </c>
      <c r="AR65" s="56">
        <f t="shared" si="20"/>
        <v>0.78687127024722936</v>
      </c>
      <c r="AS65" s="56">
        <f t="shared" si="21"/>
        <v>0.91392215568862278</v>
      </c>
      <c r="AT65" s="56">
        <f t="shared" si="22"/>
        <v>0.97524752475247523</v>
      </c>
      <c r="AU65" s="57">
        <f t="shared" si="23"/>
        <v>0.7678096757044125</v>
      </c>
      <c r="AV65" s="52">
        <v>2174</v>
      </c>
      <c r="AW65" s="52">
        <v>1945</v>
      </c>
      <c r="AX65" s="52">
        <v>1244</v>
      </c>
      <c r="AY65" s="52">
        <v>766</v>
      </c>
      <c r="AZ65" s="58">
        <f t="shared" si="25"/>
        <v>6129</v>
      </c>
      <c r="BA65" s="52">
        <v>1938</v>
      </c>
      <c r="BB65" s="52">
        <v>1687</v>
      </c>
      <c r="BC65" s="52">
        <v>1087</v>
      </c>
      <c r="BD65" s="52">
        <v>735</v>
      </c>
      <c r="BE65" s="59">
        <f t="shared" si="27"/>
        <v>5447</v>
      </c>
      <c r="BF65" s="52">
        <v>1541</v>
      </c>
      <c r="BG65" s="52">
        <v>1456</v>
      </c>
      <c r="BH65" s="52">
        <v>1083</v>
      </c>
      <c r="BI65" s="52">
        <v>719</v>
      </c>
      <c r="BJ65" s="60">
        <f t="shared" si="29"/>
        <v>4799</v>
      </c>
      <c r="BK65" s="52">
        <v>1273</v>
      </c>
      <c r="BL65" s="52">
        <v>1245</v>
      </c>
      <c r="BM65" s="52">
        <v>859</v>
      </c>
      <c r="BN65" s="52">
        <v>652</v>
      </c>
      <c r="BO65" s="55">
        <f t="shared" si="31"/>
        <v>4029</v>
      </c>
      <c r="BP65" s="61"/>
      <c r="BQ65" s="62">
        <f t="shared" si="51"/>
        <v>0.71654581410678975</v>
      </c>
      <c r="BR65" s="62">
        <f t="shared" si="52"/>
        <v>0.82907075873827796</v>
      </c>
      <c r="BS65" s="62">
        <f t="shared" si="53"/>
        <v>0.93113772455089816</v>
      </c>
      <c r="BT65" s="62">
        <f t="shared" si="54"/>
        <v>0.94801980198019797</v>
      </c>
      <c r="BU65" s="63">
        <f t="shared" si="32"/>
        <v>0.81459330143540665</v>
      </c>
      <c r="BV65" s="62">
        <f t="shared" si="33"/>
        <v>0.63876071193144368</v>
      </c>
      <c r="BW65" s="62">
        <f t="shared" si="34"/>
        <v>0.71909633418584828</v>
      </c>
      <c r="BX65" s="62">
        <f t="shared" si="35"/>
        <v>0.81362275449101795</v>
      </c>
      <c r="BY65" s="62">
        <f t="shared" si="36"/>
        <v>0.90965346534653468</v>
      </c>
      <c r="BZ65" s="64">
        <f t="shared" si="37"/>
        <v>0.72395002658160557</v>
      </c>
      <c r="CA65" s="62">
        <f t="shared" si="38"/>
        <v>0.507910349373764</v>
      </c>
      <c r="CB65" s="62">
        <f t="shared" si="39"/>
        <v>0.62063086104006815</v>
      </c>
      <c r="CC65" s="62">
        <f t="shared" si="40"/>
        <v>0.81062874251497008</v>
      </c>
      <c r="CD65" s="62">
        <f t="shared" si="41"/>
        <v>0.88985148514851486</v>
      </c>
      <c r="CE65" s="65">
        <f t="shared" si="42"/>
        <v>0.63782562466772996</v>
      </c>
      <c r="CF65" s="62">
        <f t="shared" si="43"/>
        <v>0.4195781147000659</v>
      </c>
      <c r="CG65" s="62">
        <f t="shared" si="44"/>
        <v>0.53069053708439895</v>
      </c>
      <c r="CH65" s="62">
        <f t="shared" si="45"/>
        <v>0.64296407185628746</v>
      </c>
      <c r="CI65" s="62">
        <f t="shared" si="46"/>
        <v>0.80693069306930698</v>
      </c>
      <c r="CJ65" s="66">
        <f t="shared" si="47"/>
        <v>0.53548644338118023</v>
      </c>
      <c r="CK65" s="62">
        <f t="shared" si="123"/>
        <v>0.57069874752801586</v>
      </c>
      <c r="CL65" s="62">
        <f t="shared" si="123"/>
        <v>0.67487212276214836</v>
      </c>
      <c r="CM65" s="62">
        <f t="shared" si="123"/>
        <v>0.79958832335329344</v>
      </c>
      <c r="CN65" s="62">
        <f t="shared" si="123"/>
        <v>0.88861386138613874</v>
      </c>
      <c r="CO65" s="67">
        <f t="shared" si="49"/>
        <v>0.67796384901648066</v>
      </c>
      <c r="CP65" s="48"/>
    </row>
    <row r="66" spans="1:94" ht="30.75" customHeight="1" x14ac:dyDescent="0.3">
      <c r="A66" s="36" t="s">
        <v>107</v>
      </c>
      <c r="B66" s="37"/>
      <c r="C66" s="38"/>
      <c r="D66" s="39"/>
      <c r="E66" s="40">
        <f t="shared" ref="E66:F66" si="157">SUM(E67:E68)</f>
        <v>637</v>
      </c>
      <c r="F66" s="40">
        <f t="shared" si="157"/>
        <v>602</v>
      </c>
      <c r="G66" s="41">
        <f t="shared" si="1"/>
        <v>0.94505494505494503</v>
      </c>
      <c r="H66" s="40">
        <f t="shared" ref="H66:AJ66" si="158">SUM(H67:H68)</f>
        <v>20927</v>
      </c>
      <c r="I66" s="40">
        <f t="shared" si="158"/>
        <v>18695</v>
      </c>
      <c r="J66" s="40">
        <f t="shared" si="158"/>
        <v>14211</v>
      </c>
      <c r="K66" s="40">
        <f t="shared" si="158"/>
        <v>9310</v>
      </c>
      <c r="L66" s="42">
        <f t="shared" si="3"/>
        <v>63143</v>
      </c>
      <c r="M66" s="40">
        <f t="shared" si="158"/>
        <v>20063</v>
      </c>
      <c r="N66" s="40">
        <f t="shared" si="158"/>
        <v>18042</v>
      </c>
      <c r="O66" s="40">
        <f t="shared" si="158"/>
        <v>13648</v>
      </c>
      <c r="P66" s="40">
        <f t="shared" si="158"/>
        <v>9060</v>
      </c>
      <c r="Q66" s="42">
        <f t="shared" si="5"/>
        <v>60813</v>
      </c>
      <c r="R66" s="40">
        <f t="shared" si="158"/>
        <v>427</v>
      </c>
      <c r="S66" s="40">
        <f t="shared" si="158"/>
        <v>59</v>
      </c>
      <c r="T66" s="40">
        <f t="shared" si="158"/>
        <v>9</v>
      </c>
      <c r="U66" s="40">
        <f t="shared" si="158"/>
        <v>0</v>
      </c>
      <c r="V66" s="43">
        <f t="shared" si="7"/>
        <v>495</v>
      </c>
      <c r="W66" s="40">
        <f t="shared" si="158"/>
        <v>2741</v>
      </c>
      <c r="X66" s="40">
        <f t="shared" si="158"/>
        <v>614</v>
      </c>
      <c r="Y66" s="40">
        <f t="shared" si="158"/>
        <v>176</v>
      </c>
      <c r="Z66" s="40">
        <f t="shared" si="158"/>
        <v>14</v>
      </c>
      <c r="AA66" s="43">
        <f t="shared" si="9"/>
        <v>3545</v>
      </c>
      <c r="AB66" s="40">
        <f t="shared" si="158"/>
        <v>7593</v>
      </c>
      <c r="AC66" s="40">
        <f t="shared" si="158"/>
        <v>4961</v>
      </c>
      <c r="AD66" s="40">
        <f t="shared" si="158"/>
        <v>1809</v>
      </c>
      <c r="AE66" s="40">
        <f t="shared" si="158"/>
        <v>424</v>
      </c>
      <c r="AF66" s="43">
        <f t="shared" si="11"/>
        <v>14787</v>
      </c>
      <c r="AG66" s="40">
        <f t="shared" si="158"/>
        <v>9302</v>
      </c>
      <c r="AH66" s="40">
        <f t="shared" si="158"/>
        <v>12408</v>
      </c>
      <c r="AI66" s="40">
        <f t="shared" si="158"/>
        <v>11654</v>
      </c>
      <c r="AJ66" s="40">
        <f t="shared" si="158"/>
        <v>8622</v>
      </c>
      <c r="AK66" s="43">
        <f t="shared" si="13"/>
        <v>41986</v>
      </c>
      <c r="AL66" s="44">
        <f t="shared" si="14"/>
        <v>0.37845785774809348</v>
      </c>
      <c r="AM66" s="44">
        <f t="shared" si="15"/>
        <v>0.27496951557477001</v>
      </c>
      <c r="AN66" s="44">
        <f t="shared" si="16"/>
        <v>0.13254689331770222</v>
      </c>
      <c r="AO66" s="44">
        <f t="shared" si="17"/>
        <v>4.6799116997792496E-2</v>
      </c>
      <c r="AP66" s="44">
        <f t="shared" si="18"/>
        <v>0.24315524641112921</v>
      </c>
      <c r="AQ66" s="44">
        <f t="shared" si="19"/>
        <v>0.46363953546329062</v>
      </c>
      <c r="AR66" s="44">
        <f t="shared" si="20"/>
        <v>0.68772863318922517</v>
      </c>
      <c r="AS66" s="44">
        <f t="shared" si="21"/>
        <v>0.85389800703399765</v>
      </c>
      <c r="AT66" s="44">
        <f t="shared" si="22"/>
        <v>0.95165562913907287</v>
      </c>
      <c r="AU66" s="44">
        <f t="shared" si="23"/>
        <v>0.69041158962721783</v>
      </c>
      <c r="AV66" s="40">
        <f t="shared" ref="AV66:AY66" si="159">SUM(AV67:AV68)</f>
        <v>12643</v>
      </c>
      <c r="AW66" s="40">
        <f t="shared" si="159"/>
        <v>14590</v>
      </c>
      <c r="AX66" s="40">
        <f t="shared" si="159"/>
        <v>12417</v>
      </c>
      <c r="AY66" s="40">
        <f t="shared" si="159"/>
        <v>8777</v>
      </c>
      <c r="AZ66" s="43">
        <f t="shared" si="25"/>
        <v>48427</v>
      </c>
      <c r="BA66" s="40">
        <f t="shared" ref="BA66:BN66" si="160">SUM(BA67:BA68)</f>
        <v>10936</v>
      </c>
      <c r="BB66" s="40">
        <f t="shared" si="160"/>
        <v>12746</v>
      </c>
      <c r="BC66" s="40">
        <f t="shared" si="160"/>
        <v>11655</v>
      </c>
      <c r="BD66" s="40">
        <f t="shared" si="160"/>
        <v>8505</v>
      </c>
      <c r="BE66" s="43">
        <f t="shared" si="27"/>
        <v>43842</v>
      </c>
      <c r="BF66" s="40">
        <f t="shared" si="160"/>
        <v>5538</v>
      </c>
      <c r="BG66" s="40">
        <f t="shared" si="160"/>
        <v>9557</v>
      </c>
      <c r="BH66" s="40">
        <f t="shared" si="160"/>
        <v>9844</v>
      </c>
      <c r="BI66" s="40">
        <f t="shared" si="160"/>
        <v>7858</v>
      </c>
      <c r="BJ66" s="43">
        <f t="shared" si="29"/>
        <v>32797</v>
      </c>
      <c r="BK66" s="40">
        <f t="shared" si="160"/>
        <v>3129</v>
      </c>
      <c r="BL66" s="40">
        <f t="shared" si="160"/>
        <v>6150</v>
      </c>
      <c r="BM66" s="40">
        <f t="shared" si="160"/>
        <v>7636</v>
      </c>
      <c r="BN66" s="40">
        <f t="shared" si="160"/>
        <v>6686</v>
      </c>
      <c r="BO66" s="43">
        <f t="shared" si="31"/>
        <v>23601</v>
      </c>
      <c r="BP66" s="45" t="e">
        <f>+AVERAGE(BP67:BP68)</f>
        <v>#DIV/0!</v>
      </c>
      <c r="BQ66" s="46">
        <f t="shared" si="51"/>
        <v>0.63016498031201718</v>
      </c>
      <c r="BR66" s="46">
        <f t="shared" si="52"/>
        <v>0.80866866201086351</v>
      </c>
      <c r="BS66" s="46">
        <f t="shared" si="53"/>
        <v>0.90980363423212196</v>
      </c>
      <c r="BT66" s="46">
        <f t="shared" si="54"/>
        <v>0.96876379690949233</v>
      </c>
      <c r="BU66" s="46">
        <f t="shared" si="32"/>
        <v>0.79632644335915015</v>
      </c>
      <c r="BV66" s="46">
        <f t="shared" si="33"/>
        <v>0.54508298858595428</v>
      </c>
      <c r="BW66" s="46">
        <f t="shared" si="34"/>
        <v>0.70646269814876395</v>
      </c>
      <c r="BX66" s="46">
        <f t="shared" si="35"/>
        <v>0.85397127784290738</v>
      </c>
      <c r="BY66" s="46">
        <f t="shared" si="36"/>
        <v>0.9387417218543046</v>
      </c>
      <c r="BZ66" s="47">
        <f t="shared" si="37"/>
        <v>0.7209313798036604</v>
      </c>
      <c r="CA66" s="46">
        <f t="shared" si="38"/>
        <v>0.27603050391267508</v>
      </c>
      <c r="CB66" s="46">
        <f t="shared" si="39"/>
        <v>0.52970845804234568</v>
      </c>
      <c r="CC66" s="46">
        <f t="shared" si="40"/>
        <v>0.72127784290738572</v>
      </c>
      <c r="CD66" s="46">
        <f t="shared" si="41"/>
        <v>0.86732891832229586</v>
      </c>
      <c r="CE66" s="47">
        <f t="shared" si="42"/>
        <v>0.53930902931938896</v>
      </c>
      <c r="CF66" s="46">
        <f t="shared" si="43"/>
        <v>0.15595873000049842</v>
      </c>
      <c r="CG66" s="46">
        <f t="shared" si="44"/>
        <v>0.34087130029930163</v>
      </c>
      <c r="CH66" s="46">
        <f t="shared" si="45"/>
        <v>0.55949589683470102</v>
      </c>
      <c r="CI66" s="46">
        <f t="shared" si="46"/>
        <v>0.73796909492273732</v>
      </c>
      <c r="CJ66" s="47">
        <f t="shared" si="47"/>
        <v>0.38809136204429973</v>
      </c>
      <c r="CK66" s="46">
        <f t="shared" si="123"/>
        <v>0.4018093007027862</v>
      </c>
      <c r="CL66" s="46">
        <f t="shared" si="123"/>
        <v>0.59642777962531879</v>
      </c>
      <c r="CM66" s="46">
        <f t="shared" si="123"/>
        <v>0.76113716295427913</v>
      </c>
      <c r="CN66" s="46">
        <f t="shared" si="123"/>
        <v>0.87820088300220756</v>
      </c>
      <c r="CO66" s="107">
        <f t="shared" si="49"/>
        <v>0.61116455363162481</v>
      </c>
      <c r="CP66" s="48"/>
    </row>
    <row r="67" spans="1:94" ht="30.75" customHeight="1" x14ac:dyDescent="0.3">
      <c r="A67" s="49">
        <v>50</v>
      </c>
      <c r="B67" s="50" t="s">
        <v>108</v>
      </c>
      <c r="C67" s="50" t="s">
        <v>109</v>
      </c>
      <c r="D67" s="51">
        <v>46143</v>
      </c>
      <c r="E67" s="52">
        <v>355</v>
      </c>
      <c r="F67" s="52">
        <v>337</v>
      </c>
      <c r="G67" s="53">
        <f t="shared" si="1"/>
        <v>0.94929577464788728</v>
      </c>
      <c r="H67" s="52">
        <v>13316</v>
      </c>
      <c r="I67" s="52">
        <v>11878</v>
      </c>
      <c r="J67" s="52">
        <v>9296</v>
      </c>
      <c r="K67" s="52">
        <v>6419</v>
      </c>
      <c r="L67" s="54">
        <f t="shared" si="3"/>
        <v>40909</v>
      </c>
      <c r="M67" s="52">
        <v>12569</v>
      </c>
      <c r="N67" s="52">
        <v>11323</v>
      </c>
      <c r="O67" s="52">
        <v>8781</v>
      </c>
      <c r="P67" s="52">
        <v>6182</v>
      </c>
      <c r="Q67" s="54">
        <f t="shared" si="5"/>
        <v>38855</v>
      </c>
      <c r="R67" s="52">
        <v>190</v>
      </c>
      <c r="S67" s="52">
        <v>38</v>
      </c>
      <c r="T67" s="52">
        <v>4</v>
      </c>
      <c r="U67" s="52">
        <v>0</v>
      </c>
      <c r="V67" s="55">
        <f t="shared" si="7"/>
        <v>232</v>
      </c>
      <c r="W67" s="52">
        <v>1331</v>
      </c>
      <c r="X67" s="52">
        <v>232</v>
      </c>
      <c r="Y67" s="52">
        <v>63</v>
      </c>
      <c r="Z67" s="52">
        <v>11</v>
      </c>
      <c r="AA67" s="55">
        <f t="shared" si="9"/>
        <v>1637</v>
      </c>
      <c r="AB67" s="52">
        <v>4441</v>
      </c>
      <c r="AC67" s="52">
        <v>2714</v>
      </c>
      <c r="AD67" s="52">
        <v>1072</v>
      </c>
      <c r="AE67" s="52">
        <v>321</v>
      </c>
      <c r="AF67" s="55">
        <f t="shared" si="11"/>
        <v>8548</v>
      </c>
      <c r="AG67" s="52">
        <v>6607</v>
      </c>
      <c r="AH67" s="52">
        <v>8339</v>
      </c>
      <c r="AI67" s="52">
        <v>7642</v>
      </c>
      <c r="AJ67" s="52">
        <v>5850</v>
      </c>
      <c r="AK67" s="55">
        <f t="shared" si="13"/>
        <v>28438</v>
      </c>
      <c r="AL67" s="56">
        <f t="shared" si="14"/>
        <v>0.35332962049486832</v>
      </c>
      <c r="AM67" s="56">
        <f t="shared" si="15"/>
        <v>0.23968912832288264</v>
      </c>
      <c r="AN67" s="56">
        <f t="shared" si="16"/>
        <v>0.12208176745245417</v>
      </c>
      <c r="AO67" s="56">
        <f t="shared" si="17"/>
        <v>5.1924943384018117E-2</v>
      </c>
      <c r="AP67" s="57">
        <f t="shared" si="18"/>
        <v>0.21999742632865782</v>
      </c>
      <c r="AQ67" s="56">
        <f t="shared" si="19"/>
        <v>0.52565836582066994</v>
      </c>
      <c r="AR67" s="56">
        <f t="shared" si="20"/>
        <v>0.73646560098913716</v>
      </c>
      <c r="AS67" s="56">
        <f t="shared" si="21"/>
        <v>0.87028812208176742</v>
      </c>
      <c r="AT67" s="56">
        <f t="shared" si="22"/>
        <v>0.94629569718537687</v>
      </c>
      <c r="AU67" s="57">
        <f t="shared" si="23"/>
        <v>0.73190065628619227</v>
      </c>
      <c r="AV67" s="52">
        <v>8942</v>
      </c>
      <c r="AW67" s="52">
        <v>9912</v>
      </c>
      <c r="AX67" s="52">
        <v>8173</v>
      </c>
      <c r="AY67" s="52">
        <v>6005</v>
      </c>
      <c r="AZ67" s="58">
        <f t="shared" si="25"/>
        <v>33032</v>
      </c>
      <c r="BA67" s="52">
        <v>7521</v>
      </c>
      <c r="BB67" s="52">
        <v>8569</v>
      </c>
      <c r="BC67" s="52">
        <v>7875</v>
      </c>
      <c r="BD67" s="52">
        <v>5861</v>
      </c>
      <c r="BE67" s="59">
        <f t="shared" si="27"/>
        <v>29826</v>
      </c>
      <c r="BF67" s="52">
        <v>3576</v>
      </c>
      <c r="BG67" s="52">
        <v>6586</v>
      </c>
      <c r="BH67" s="52">
        <v>6748</v>
      </c>
      <c r="BI67" s="52">
        <v>5420</v>
      </c>
      <c r="BJ67" s="60">
        <f t="shared" si="29"/>
        <v>22330</v>
      </c>
      <c r="BK67" s="52">
        <v>1991</v>
      </c>
      <c r="BL67" s="52">
        <v>4217</v>
      </c>
      <c r="BM67" s="52">
        <v>5450</v>
      </c>
      <c r="BN67" s="52">
        <v>4815</v>
      </c>
      <c r="BO67" s="55">
        <f t="shared" si="31"/>
        <v>16473</v>
      </c>
      <c r="BP67" s="61"/>
      <c r="BQ67" s="62">
        <f t="shared" si="51"/>
        <v>0.711432890444745</v>
      </c>
      <c r="BR67" s="62">
        <f t="shared" si="52"/>
        <v>0.87538638170096261</v>
      </c>
      <c r="BS67" s="62">
        <f t="shared" si="53"/>
        <v>0.9307595945792051</v>
      </c>
      <c r="BT67" s="62">
        <f t="shared" si="54"/>
        <v>0.97136848916208351</v>
      </c>
      <c r="BU67" s="63">
        <f t="shared" ref="BU67:BU81" si="161">IFERROR(AZ67/$Q67,"")</f>
        <v>0.85013511774546391</v>
      </c>
      <c r="BV67" s="62">
        <f t="shared" ref="BV67:BV81" si="162">IFERROR(BA67/$M67,"")</f>
        <v>0.59837695918529721</v>
      </c>
      <c r="BW67" s="62">
        <f t="shared" ref="BW67:BW81" si="163">IFERROR(BB67/$N67,"")</f>
        <v>0.75677823898260177</v>
      </c>
      <c r="BX67" s="62">
        <f t="shared" ref="BX67:BX81" si="164">IFERROR(BC67/$O67,"")</f>
        <v>0.89682268534335496</v>
      </c>
      <c r="BY67" s="62">
        <f t="shared" ref="BY67:BY81" si="165">IFERROR(BD67/$P67,"")</f>
        <v>0.9480750566159819</v>
      </c>
      <c r="BZ67" s="64">
        <f t="shared" ref="BZ67:BZ81" si="166">IFERROR(BE67/$Q67,"")</f>
        <v>0.76762321451550641</v>
      </c>
      <c r="CA67" s="62">
        <f t="shared" ref="CA67:CA81" si="167">IFERROR(BF67/$M67,"")</f>
        <v>0.28450950751849791</v>
      </c>
      <c r="CB67" s="62">
        <f t="shared" ref="CB67:CB81" si="168">IFERROR(BG67/$N67,"")</f>
        <v>0.58164797315199157</v>
      </c>
      <c r="CC67" s="62">
        <f t="shared" ref="CC67:CC81" si="169">IFERROR(BH67/$O67,"")</f>
        <v>0.76847739437421703</v>
      </c>
      <c r="CD67" s="62">
        <f t="shared" ref="CD67:CD81" si="170">IFERROR(BI67/$P67,"")</f>
        <v>0.87673891944354576</v>
      </c>
      <c r="CE67" s="65">
        <f t="shared" ref="CE67:CE81" si="171">IFERROR(BJ67/$Q67,"")</f>
        <v>0.57470081070647283</v>
      </c>
      <c r="CF67" s="62">
        <f t="shared" ref="CF67:CF81" si="172">IFERROR(BK67/$M67,"")</f>
        <v>0.1584056010820272</v>
      </c>
      <c r="CG67" s="62">
        <f t="shared" ref="CG67:CG81" si="173">IFERROR(BL67/$N67,"")</f>
        <v>0.37242780181930585</v>
      </c>
      <c r="CH67" s="62">
        <f t="shared" ref="CH67:CH81" si="174">IFERROR(BM67/$O67,"")</f>
        <v>0.62065823938048059</v>
      </c>
      <c r="CI67" s="62">
        <f t="shared" ref="CI67:CI81" si="175">IFERROR(BN67/$P67,"")</f>
        <v>0.77887415076027178</v>
      </c>
      <c r="CJ67" s="66">
        <f t="shared" ref="CJ67:CJ81" si="176">IFERROR(BO67/$Q67,"")</f>
        <v>0.42396088019559902</v>
      </c>
      <c r="CK67" s="62">
        <f t="shared" ref="CK67:CN74" si="177">IFERROR((BQ67+BV67+CA67+CF67)/4,"")</f>
        <v>0.43818123955764182</v>
      </c>
      <c r="CL67" s="62">
        <f t="shared" si="177"/>
        <v>0.64656009891371546</v>
      </c>
      <c r="CM67" s="62">
        <f t="shared" si="177"/>
        <v>0.80417947841931436</v>
      </c>
      <c r="CN67" s="62">
        <f t="shared" si="177"/>
        <v>0.89376415399547082</v>
      </c>
      <c r="CO67" s="67">
        <f t="shared" si="49"/>
        <v>0.65410500579076047</v>
      </c>
      <c r="CP67" s="48"/>
    </row>
    <row r="68" spans="1:94" ht="30.75" customHeight="1" x14ac:dyDescent="0.3">
      <c r="A68" s="49">
        <v>51</v>
      </c>
      <c r="B68" s="50" t="s">
        <v>108</v>
      </c>
      <c r="C68" s="50" t="s">
        <v>118</v>
      </c>
      <c r="D68" s="51">
        <v>46143</v>
      </c>
      <c r="E68" s="52">
        <v>282</v>
      </c>
      <c r="F68" s="52">
        <v>265</v>
      </c>
      <c r="G68" s="53">
        <f t="shared" si="1"/>
        <v>0.93971631205673756</v>
      </c>
      <c r="H68" s="52">
        <v>7611</v>
      </c>
      <c r="I68" s="52">
        <v>6817</v>
      </c>
      <c r="J68" s="52">
        <v>4915</v>
      </c>
      <c r="K68" s="52">
        <v>2891</v>
      </c>
      <c r="L68" s="54">
        <f t="shared" si="3"/>
        <v>22234</v>
      </c>
      <c r="M68" s="52">
        <v>7494</v>
      </c>
      <c r="N68" s="52">
        <v>6719</v>
      </c>
      <c r="O68" s="52">
        <v>4867</v>
      </c>
      <c r="P68" s="52">
        <v>2878</v>
      </c>
      <c r="Q68" s="54">
        <f t="shared" si="5"/>
        <v>21958</v>
      </c>
      <c r="R68" s="52">
        <v>237</v>
      </c>
      <c r="S68" s="52">
        <v>21</v>
      </c>
      <c r="T68" s="52">
        <v>5</v>
      </c>
      <c r="U68" s="52">
        <v>0</v>
      </c>
      <c r="V68" s="55">
        <f t="shared" si="7"/>
        <v>263</v>
      </c>
      <c r="W68" s="52">
        <v>1410</v>
      </c>
      <c r="X68" s="52">
        <v>382</v>
      </c>
      <c r="Y68" s="52">
        <v>113</v>
      </c>
      <c r="Z68" s="52">
        <v>3</v>
      </c>
      <c r="AA68" s="55">
        <f t="shared" si="9"/>
        <v>1908</v>
      </c>
      <c r="AB68" s="52">
        <v>3152</v>
      </c>
      <c r="AC68" s="52">
        <v>2247</v>
      </c>
      <c r="AD68" s="52">
        <v>737</v>
      </c>
      <c r="AE68" s="52">
        <v>103</v>
      </c>
      <c r="AF68" s="55">
        <f t="shared" si="11"/>
        <v>6239</v>
      </c>
      <c r="AG68" s="52">
        <v>2695</v>
      </c>
      <c r="AH68" s="52">
        <v>4069</v>
      </c>
      <c r="AI68" s="52">
        <v>4012</v>
      </c>
      <c r="AJ68" s="52">
        <v>2772</v>
      </c>
      <c r="AK68" s="55">
        <f t="shared" si="13"/>
        <v>13548</v>
      </c>
      <c r="AL68" s="56">
        <f t="shared" si="14"/>
        <v>0.42060314918601549</v>
      </c>
      <c r="AM68" s="56">
        <f t="shared" si="15"/>
        <v>0.33442476559011758</v>
      </c>
      <c r="AN68" s="56">
        <f t="shared" si="16"/>
        <v>0.1514279843846312</v>
      </c>
      <c r="AO68" s="56">
        <f t="shared" si="17"/>
        <v>3.5788742182070885E-2</v>
      </c>
      <c r="AP68" s="57">
        <f t="shared" si="18"/>
        <v>0.28413334547773023</v>
      </c>
      <c r="AQ68" s="56">
        <f t="shared" si="19"/>
        <v>0.35962103015745928</v>
      </c>
      <c r="AR68" s="56">
        <f t="shared" si="20"/>
        <v>0.60559607084387557</v>
      </c>
      <c r="AS68" s="56">
        <f t="shared" si="21"/>
        <v>0.82432710088350114</v>
      </c>
      <c r="AT68" s="56">
        <f t="shared" si="22"/>
        <v>0.9631688672689368</v>
      </c>
      <c r="AU68" s="57">
        <f t="shared" si="23"/>
        <v>0.61699608343200651</v>
      </c>
      <c r="AV68" s="52">
        <v>3701</v>
      </c>
      <c r="AW68" s="52">
        <v>4678</v>
      </c>
      <c r="AX68" s="52">
        <v>4244</v>
      </c>
      <c r="AY68" s="52">
        <v>2772</v>
      </c>
      <c r="AZ68" s="58">
        <f t="shared" si="25"/>
        <v>15395</v>
      </c>
      <c r="BA68" s="52">
        <v>3415</v>
      </c>
      <c r="BB68" s="52">
        <v>4177</v>
      </c>
      <c r="BC68" s="52">
        <v>3780</v>
      </c>
      <c r="BD68" s="52">
        <v>2644</v>
      </c>
      <c r="BE68" s="59">
        <f t="shared" si="27"/>
        <v>14016</v>
      </c>
      <c r="BF68" s="52">
        <v>1962</v>
      </c>
      <c r="BG68" s="52">
        <v>2971</v>
      </c>
      <c r="BH68" s="52">
        <v>3096</v>
      </c>
      <c r="BI68" s="52">
        <v>2438</v>
      </c>
      <c r="BJ68" s="60">
        <f t="shared" si="29"/>
        <v>10467</v>
      </c>
      <c r="BK68" s="52">
        <v>1138</v>
      </c>
      <c r="BL68" s="52">
        <v>1933</v>
      </c>
      <c r="BM68" s="52">
        <v>2186</v>
      </c>
      <c r="BN68" s="52">
        <v>1871</v>
      </c>
      <c r="BO68" s="55">
        <f t="shared" si="31"/>
        <v>7128</v>
      </c>
      <c r="BP68" s="61"/>
      <c r="BQ68" s="62">
        <f t="shared" ref="BQ68:BQ82" si="178">IFERROR(AV68/$M68,"")</f>
        <v>0.49386175607152388</v>
      </c>
      <c r="BR68" s="62">
        <f t="shared" ref="BR68:BR82" si="179">IFERROR(AW68/$N68,"")</f>
        <v>0.69623455871409434</v>
      </c>
      <c r="BS68" s="62">
        <f t="shared" ref="BS68:BS82" si="180">IFERROR(AX68/$O68,"")</f>
        <v>0.87199506883090194</v>
      </c>
      <c r="BT68" s="62">
        <f t="shared" ref="BT68:BT82" si="181">IFERROR(AY68/$P68,"")</f>
        <v>0.9631688672689368</v>
      </c>
      <c r="BU68" s="63">
        <f t="shared" si="161"/>
        <v>0.70111121231441842</v>
      </c>
      <c r="BV68" s="62">
        <f t="shared" si="162"/>
        <v>0.45569789164665064</v>
      </c>
      <c r="BW68" s="62">
        <f t="shared" si="163"/>
        <v>0.62166989135287987</v>
      </c>
      <c r="BX68" s="62">
        <f t="shared" si="164"/>
        <v>0.77665913293610023</v>
      </c>
      <c r="BY68" s="62">
        <f t="shared" si="165"/>
        <v>0.91869353717859625</v>
      </c>
      <c r="BZ68" s="64">
        <f t="shared" si="166"/>
        <v>0.63830949995445851</v>
      </c>
      <c r="CA68" s="62">
        <f t="shared" si="167"/>
        <v>0.26180944755804642</v>
      </c>
      <c r="CB68" s="62">
        <f t="shared" si="168"/>
        <v>0.44217889566899837</v>
      </c>
      <c r="CC68" s="62">
        <f t="shared" si="169"/>
        <v>0.63612081364290118</v>
      </c>
      <c r="CD68" s="62">
        <f t="shared" si="170"/>
        <v>0.84711605281445446</v>
      </c>
      <c r="CE68" s="65">
        <f t="shared" si="171"/>
        <v>0.47668275799253118</v>
      </c>
      <c r="CF68" s="62">
        <f t="shared" si="172"/>
        <v>0.15185481718708299</v>
      </c>
      <c r="CG68" s="62">
        <f t="shared" si="173"/>
        <v>0.2876916207769013</v>
      </c>
      <c r="CH68" s="62">
        <f t="shared" si="174"/>
        <v>0.44914731867680296</v>
      </c>
      <c r="CI68" s="62">
        <f t="shared" si="175"/>
        <v>0.65010423905489922</v>
      </c>
      <c r="CJ68" s="66">
        <f t="shared" si="176"/>
        <v>0.32461972857272975</v>
      </c>
      <c r="CK68" s="62">
        <f t="shared" si="177"/>
        <v>0.34080597811582597</v>
      </c>
      <c r="CL68" s="62">
        <f t="shared" si="177"/>
        <v>0.51194374162821843</v>
      </c>
      <c r="CM68" s="62">
        <f t="shared" si="177"/>
        <v>0.68348058352167662</v>
      </c>
      <c r="CN68" s="62">
        <f t="shared" si="177"/>
        <v>0.84477067407922168</v>
      </c>
      <c r="CO68" s="67">
        <f t="shared" si="49"/>
        <v>0.53518079970853449</v>
      </c>
      <c r="CP68" s="48"/>
    </row>
    <row r="69" spans="1:94" ht="30.75" customHeight="1" x14ac:dyDescent="0.3">
      <c r="A69" s="36" t="s">
        <v>125</v>
      </c>
      <c r="B69" s="37"/>
      <c r="C69" s="38"/>
      <c r="D69" s="39"/>
      <c r="E69" s="40">
        <f t="shared" ref="E69:F69" si="182">SUM(E70:E73)</f>
        <v>1095</v>
      </c>
      <c r="F69" s="40">
        <f t="shared" si="182"/>
        <v>949</v>
      </c>
      <c r="G69" s="41">
        <f t="shared" si="1"/>
        <v>0.8666666666666667</v>
      </c>
      <c r="H69" s="40">
        <f t="shared" ref="H69:K69" si="183">SUM(H70:H73)</f>
        <v>29962</v>
      </c>
      <c r="I69" s="40">
        <f t="shared" si="183"/>
        <v>26420</v>
      </c>
      <c r="J69" s="40">
        <f t="shared" si="183"/>
        <v>19528</v>
      </c>
      <c r="K69" s="40">
        <f t="shared" si="183"/>
        <v>12967</v>
      </c>
      <c r="L69" s="42">
        <f t="shared" si="3"/>
        <v>88877</v>
      </c>
      <c r="M69" s="40">
        <f t="shared" ref="M69:P69" si="184">SUM(M70:M73)</f>
        <v>28704</v>
      </c>
      <c r="N69" s="40">
        <f t="shared" si="184"/>
        <v>25275</v>
      </c>
      <c r="O69" s="40">
        <f t="shared" si="184"/>
        <v>18854</v>
      </c>
      <c r="P69" s="40">
        <f t="shared" si="184"/>
        <v>12583</v>
      </c>
      <c r="Q69" s="42">
        <f t="shared" si="5"/>
        <v>85416</v>
      </c>
      <c r="R69" s="40">
        <f t="shared" ref="R69:U69" si="185">SUM(R70:R73)</f>
        <v>524</v>
      </c>
      <c r="S69" s="40">
        <f t="shared" si="185"/>
        <v>125</v>
      </c>
      <c r="T69" s="40">
        <f t="shared" si="185"/>
        <v>53</v>
      </c>
      <c r="U69" s="40">
        <f t="shared" si="185"/>
        <v>18</v>
      </c>
      <c r="V69" s="43">
        <f t="shared" si="7"/>
        <v>720</v>
      </c>
      <c r="W69" s="40">
        <f t="shared" ref="W69:Z69" si="186">SUM(W70:W73)</f>
        <v>1948</v>
      </c>
      <c r="X69" s="40">
        <f t="shared" si="186"/>
        <v>582</v>
      </c>
      <c r="Y69" s="40">
        <f t="shared" si="186"/>
        <v>163</v>
      </c>
      <c r="Z69" s="40">
        <f t="shared" si="186"/>
        <v>58</v>
      </c>
      <c r="AA69" s="43">
        <f t="shared" si="9"/>
        <v>2751</v>
      </c>
      <c r="AB69" s="40">
        <f t="shared" ref="AB69:AE69" si="187">SUM(AB70:AB73)</f>
        <v>7285</v>
      </c>
      <c r="AC69" s="40">
        <f t="shared" si="187"/>
        <v>3438</v>
      </c>
      <c r="AD69" s="40">
        <f t="shared" si="187"/>
        <v>1216</v>
      </c>
      <c r="AE69" s="40">
        <f t="shared" si="187"/>
        <v>276</v>
      </c>
      <c r="AF69" s="43">
        <f t="shared" si="11"/>
        <v>12215</v>
      </c>
      <c r="AG69" s="40">
        <f t="shared" ref="AG69:AJ69" si="188">SUM(AG70:AG73)</f>
        <v>18929</v>
      </c>
      <c r="AH69" s="40">
        <f t="shared" si="188"/>
        <v>21117</v>
      </c>
      <c r="AI69" s="40">
        <f t="shared" si="188"/>
        <v>17417</v>
      </c>
      <c r="AJ69" s="40">
        <f t="shared" si="188"/>
        <v>12239</v>
      </c>
      <c r="AK69" s="43">
        <f t="shared" si="13"/>
        <v>69702</v>
      </c>
      <c r="AL69" s="44">
        <f t="shared" si="14"/>
        <v>0.25379738015607584</v>
      </c>
      <c r="AM69" s="44">
        <f t="shared" si="15"/>
        <v>0.13602373887240357</v>
      </c>
      <c r="AN69" s="44">
        <f t="shared" si="16"/>
        <v>6.4495597751140346E-2</v>
      </c>
      <c r="AO69" s="44">
        <f t="shared" si="17"/>
        <v>2.1934355876976872E-2</v>
      </c>
      <c r="AP69" s="44">
        <f t="shared" si="18"/>
        <v>0.1430059941931254</v>
      </c>
      <c r="AQ69" s="44">
        <f t="shared" si="19"/>
        <v>0.65945512820512819</v>
      </c>
      <c r="AR69" s="44">
        <f t="shared" si="20"/>
        <v>0.83548961424332346</v>
      </c>
      <c r="AS69" s="44">
        <f t="shared" si="21"/>
        <v>0.92378275167073298</v>
      </c>
      <c r="AT69" s="44">
        <f t="shared" si="22"/>
        <v>0.97266152745768097</v>
      </c>
      <c r="AU69" s="44">
        <f t="shared" si="23"/>
        <v>0.81602978364709189</v>
      </c>
      <c r="AV69" s="40">
        <f t="shared" ref="AV69:AY69" si="189">SUM(AV70:AV73)</f>
        <v>20011</v>
      </c>
      <c r="AW69" s="40">
        <f t="shared" si="189"/>
        <v>20715</v>
      </c>
      <c r="AX69" s="40">
        <f t="shared" si="189"/>
        <v>17110</v>
      </c>
      <c r="AY69" s="40">
        <f t="shared" si="189"/>
        <v>12019</v>
      </c>
      <c r="AZ69" s="43">
        <f t="shared" si="25"/>
        <v>69855</v>
      </c>
      <c r="BA69" s="40">
        <f t="shared" ref="BA69:BD69" si="190">SUM(BA70:BA73)</f>
        <v>17287</v>
      </c>
      <c r="BB69" s="40">
        <f t="shared" si="190"/>
        <v>18406</v>
      </c>
      <c r="BC69" s="40">
        <f t="shared" si="190"/>
        <v>15819</v>
      </c>
      <c r="BD69" s="40">
        <f t="shared" si="190"/>
        <v>11685</v>
      </c>
      <c r="BE69" s="43">
        <f t="shared" si="27"/>
        <v>63197</v>
      </c>
      <c r="BF69" s="40">
        <f t="shared" ref="BF69:BI69" si="191">SUM(BF70:BF73)</f>
        <v>12973</v>
      </c>
      <c r="BG69" s="40">
        <f t="shared" si="191"/>
        <v>15486</v>
      </c>
      <c r="BH69" s="40">
        <f t="shared" si="191"/>
        <v>14413</v>
      </c>
      <c r="BI69" s="40">
        <f t="shared" si="191"/>
        <v>11080</v>
      </c>
      <c r="BJ69" s="43">
        <f t="shared" si="29"/>
        <v>53952</v>
      </c>
      <c r="BK69" s="40">
        <f t="shared" ref="BK69:BN69" si="192">SUM(BK70:BK73)</f>
        <v>8802</v>
      </c>
      <c r="BL69" s="40">
        <f t="shared" si="192"/>
        <v>11269</v>
      </c>
      <c r="BM69" s="40">
        <f t="shared" si="192"/>
        <v>11442</v>
      </c>
      <c r="BN69" s="40">
        <f t="shared" si="192"/>
        <v>9681</v>
      </c>
      <c r="BO69" s="43">
        <f t="shared" si="31"/>
        <v>41194</v>
      </c>
      <c r="BP69" s="45"/>
      <c r="BQ69" s="46">
        <f t="shared" si="178"/>
        <v>0.69715022296544038</v>
      </c>
      <c r="BR69" s="46">
        <f t="shared" si="179"/>
        <v>0.8195845697329377</v>
      </c>
      <c r="BS69" s="46">
        <f t="shared" si="180"/>
        <v>0.90749973480428558</v>
      </c>
      <c r="BT69" s="46">
        <f t="shared" si="181"/>
        <v>0.95517762059922118</v>
      </c>
      <c r="BU69" s="47">
        <f t="shared" si="161"/>
        <v>0.81782101713964594</v>
      </c>
      <c r="BV69" s="46">
        <f t="shared" si="162"/>
        <v>0.6022505574136009</v>
      </c>
      <c r="BW69" s="46">
        <f t="shared" si="163"/>
        <v>0.72822947576656771</v>
      </c>
      <c r="BX69" s="46">
        <f t="shared" si="164"/>
        <v>0.83902620133658645</v>
      </c>
      <c r="BY69" s="46">
        <f t="shared" si="165"/>
        <v>0.9286338710959231</v>
      </c>
      <c r="BZ69" s="47">
        <f t="shared" si="166"/>
        <v>0.73987309169242299</v>
      </c>
      <c r="CA69" s="46">
        <f t="shared" si="167"/>
        <v>0.45195791527313267</v>
      </c>
      <c r="CB69" s="46">
        <f t="shared" si="168"/>
        <v>0.61270029673590509</v>
      </c>
      <c r="CC69" s="46">
        <f t="shared" si="169"/>
        <v>0.76445316643683037</v>
      </c>
      <c r="CD69" s="46">
        <f t="shared" si="170"/>
        <v>0.88055312723515855</v>
      </c>
      <c r="CE69" s="47">
        <f t="shared" si="171"/>
        <v>0.63163810059005343</v>
      </c>
      <c r="CF69" s="46">
        <f t="shared" si="172"/>
        <v>0.30664715719063546</v>
      </c>
      <c r="CG69" s="46">
        <f t="shared" si="173"/>
        <v>0.44585558852621165</v>
      </c>
      <c r="CH69" s="46">
        <f t="shared" si="174"/>
        <v>0.6068738729182136</v>
      </c>
      <c r="CI69" s="46">
        <f t="shared" si="175"/>
        <v>0.76937137407613443</v>
      </c>
      <c r="CJ69" s="47">
        <f t="shared" si="176"/>
        <v>0.48227498360962817</v>
      </c>
      <c r="CK69" s="46">
        <f t="shared" si="177"/>
        <v>0.51450146321070234</v>
      </c>
      <c r="CL69" s="46">
        <f t="shared" si="177"/>
        <v>0.65159248269040548</v>
      </c>
      <c r="CM69" s="46">
        <f t="shared" si="177"/>
        <v>0.77946324387397903</v>
      </c>
      <c r="CN69" s="46">
        <f t="shared" si="177"/>
        <v>0.8834339982516094</v>
      </c>
      <c r="CO69" s="47">
        <f t="shared" si="49"/>
        <v>0.66790179825793772</v>
      </c>
      <c r="CP69" s="48"/>
    </row>
    <row r="70" spans="1:94" ht="30.75" customHeight="1" x14ac:dyDescent="0.3">
      <c r="A70" s="49">
        <v>52</v>
      </c>
      <c r="B70" s="50" t="s">
        <v>126</v>
      </c>
      <c r="C70" s="50" t="s">
        <v>127</v>
      </c>
      <c r="D70" s="51">
        <v>46143</v>
      </c>
      <c r="E70" s="52">
        <v>345</v>
      </c>
      <c r="F70" s="52">
        <v>343</v>
      </c>
      <c r="G70" s="53">
        <f t="shared" si="1"/>
        <v>0.99420289855072463</v>
      </c>
      <c r="H70" s="52">
        <v>11150</v>
      </c>
      <c r="I70" s="52">
        <v>10422</v>
      </c>
      <c r="J70" s="52">
        <v>7842</v>
      </c>
      <c r="K70" s="52">
        <v>5437</v>
      </c>
      <c r="L70" s="54">
        <f t="shared" si="3"/>
        <v>34851</v>
      </c>
      <c r="M70" s="52">
        <v>10398</v>
      </c>
      <c r="N70" s="52">
        <v>9857</v>
      </c>
      <c r="O70" s="52">
        <v>7526</v>
      </c>
      <c r="P70" s="52">
        <v>5291</v>
      </c>
      <c r="Q70" s="54">
        <f t="shared" si="5"/>
        <v>33072</v>
      </c>
      <c r="R70" s="52">
        <v>175</v>
      </c>
      <c r="S70" s="52">
        <v>56</v>
      </c>
      <c r="T70" s="52">
        <v>27</v>
      </c>
      <c r="U70" s="52">
        <v>8</v>
      </c>
      <c r="V70" s="55">
        <f t="shared" si="7"/>
        <v>266</v>
      </c>
      <c r="W70" s="52">
        <v>828</v>
      </c>
      <c r="X70" s="52">
        <v>266</v>
      </c>
      <c r="Y70" s="52">
        <v>50</v>
      </c>
      <c r="Z70" s="52">
        <v>36</v>
      </c>
      <c r="AA70" s="55">
        <f t="shared" si="9"/>
        <v>1180</v>
      </c>
      <c r="AB70" s="52">
        <v>2800</v>
      </c>
      <c r="AC70" s="52">
        <v>1423</v>
      </c>
      <c r="AD70" s="52">
        <v>466</v>
      </c>
      <c r="AE70" s="52">
        <v>91</v>
      </c>
      <c r="AF70" s="55">
        <f t="shared" si="11"/>
        <v>4780</v>
      </c>
      <c r="AG70" s="52">
        <v>6595</v>
      </c>
      <c r="AH70" s="52">
        <v>8112</v>
      </c>
      <c r="AI70" s="52">
        <v>6983</v>
      </c>
      <c r="AJ70" s="52">
        <v>5156</v>
      </c>
      <c r="AK70" s="55">
        <f t="shared" si="13"/>
        <v>26846</v>
      </c>
      <c r="AL70" s="56">
        <f t="shared" si="14"/>
        <v>0.26928255433737258</v>
      </c>
      <c r="AM70" s="56">
        <f t="shared" si="15"/>
        <v>0.14436441107842143</v>
      </c>
      <c r="AN70" s="56">
        <f t="shared" si="16"/>
        <v>6.191868190273718E-2</v>
      </c>
      <c r="AO70" s="56">
        <f t="shared" si="17"/>
        <v>1.7199017199017199E-2</v>
      </c>
      <c r="AP70" s="57">
        <f t="shared" si="18"/>
        <v>0.14453313981615867</v>
      </c>
      <c r="AQ70" s="56">
        <f t="shared" si="19"/>
        <v>0.63425658780534722</v>
      </c>
      <c r="AR70" s="56">
        <f t="shared" si="20"/>
        <v>0.82296844881809883</v>
      </c>
      <c r="AS70" s="56">
        <f t="shared" si="21"/>
        <v>0.92785011958543717</v>
      </c>
      <c r="AT70" s="56">
        <f t="shared" si="22"/>
        <v>0.97448497448497451</v>
      </c>
      <c r="AU70" s="57">
        <f t="shared" si="23"/>
        <v>0.81174407353652633</v>
      </c>
      <c r="AV70" s="52">
        <v>7195</v>
      </c>
      <c r="AW70" s="52">
        <v>7826</v>
      </c>
      <c r="AX70" s="52">
        <v>6868</v>
      </c>
      <c r="AY70" s="52">
        <v>5044</v>
      </c>
      <c r="AZ70" s="58">
        <f t="shared" si="25"/>
        <v>26933</v>
      </c>
      <c r="BA70" s="52">
        <v>6253</v>
      </c>
      <c r="BB70" s="52">
        <v>7044</v>
      </c>
      <c r="BC70" s="52">
        <v>6320</v>
      </c>
      <c r="BD70" s="52">
        <v>4904</v>
      </c>
      <c r="BE70" s="59">
        <f t="shared" si="27"/>
        <v>24521</v>
      </c>
      <c r="BF70" s="52">
        <v>4837</v>
      </c>
      <c r="BG70" s="52">
        <v>6084</v>
      </c>
      <c r="BH70" s="52">
        <v>5881</v>
      </c>
      <c r="BI70" s="52">
        <v>4668</v>
      </c>
      <c r="BJ70" s="60">
        <f t="shared" si="29"/>
        <v>21470</v>
      </c>
      <c r="BK70" s="52">
        <v>3268</v>
      </c>
      <c r="BL70" s="52">
        <v>4474</v>
      </c>
      <c r="BM70" s="52">
        <v>4743</v>
      </c>
      <c r="BN70" s="52">
        <v>4113</v>
      </c>
      <c r="BO70" s="55">
        <f t="shared" si="31"/>
        <v>16598</v>
      </c>
      <c r="BP70" s="61"/>
      <c r="BQ70" s="62">
        <f t="shared" si="178"/>
        <v>0.69195999230621275</v>
      </c>
      <c r="BR70" s="62">
        <f t="shared" si="179"/>
        <v>0.79395353555848636</v>
      </c>
      <c r="BS70" s="62">
        <f t="shared" si="180"/>
        <v>0.91256975817167152</v>
      </c>
      <c r="BT70" s="62">
        <f t="shared" si="181"/>
        <v>0.95331695331695332</v>
      </c>
      <c r="BU70" s="63">
        <f t="shared" si="161"/>
        <v>0.81437469762941461</v>
      </c>
      <c r="BV70" s="62">
        <f t="shared" si="162"/>
        <v>0.60136564723985386</v>
      </c>
      <c r="BW70" s="62">
        <f t="shared" si="163"/>
        <v>0.71461905245003554</v>
      </c>
      <c r="BX70" s="62">
        <f t="shared" si="164"/>
        <v>0.83975551421737971</v>
      </c>
      <c r="BY70" s="62">
        <f t="shared" si="165"/>
        <v>0.92685692685692689</v>
      </c>
      <c r="BZ70" s="64">
        <f t="shared" si="166"/>
        <v>0.74144291243347848</v>
      </c>
      <c r="CA70" s="62">
        <f t="shared" si="167"/>
        <v>0.46518561261781111</v>
      </c>
      <c r="CB70" s="62">
        <f t="shared" si="168"/>
        <v>0.61722633661357407</v>
      </c>
      <c r="CC70" s="62">
        <f t="shared" si="169"/>
        <v>0.78142439542917885</v>
      </c>
      <c r="CD70" s="62">
        <f t="shared" si="170"/>
        <v>0.88225288225288223</v>
      </c>
      <c r="CE70" s="65">
        <f t="shared" si="171"/>
        <v>0.64918964683115632</v>
      </c>
      <c r="CF70" s="62">
        <f t="shared" si="172"/>
        <v>0.3142912098480477</v>
      </c>
      <c r="CG70" s="62">
        <f t="shared" si="173"/>
        <v>0.4538906360961753</v>
      </c>
      <c r="CH70" s="62">
        <f t="shared" si="174"/>
        <v>0.63021525378687215</v>
      </c>
      <c r="CI70" s="62">
        <f t="shared" si="175"/>
        <v>0.77735777735777734</v>
      </c>
      <c r="CJ70" s="66">
        <f t="shared" si="176"/>
        <v>0.50187469762941461</v>
      </c>
      <c r="CK70" s="62">
        <f t="shared" si="177"/>
        <v>0.51820061550298135</v>
      </c>
      <c r="CL70" s="62">
        <f t="shared" si="177"/>
        <v>0.64492239017956776</v>
      </c>
      <c r="CM70" s="62">
        <f t="shared" si="177"/>
        <v>0.79099123040127561</v>
      </c>
      <c r="CN70" s="62">
        <f t="shared" si="177"/>
        <v>0.88494613494613494</v>
      </c>
      <c r="CO70" s="67">
        <f t="shared" si="49"/>
        <v>0.67672048863086598</v>
      </c>
      <c r="CP70" s="48"/>
    </row>
    <row r="71" spans="1:94" ht="30.75" customHeight="1" x14ac:dyDescent="0.3">
      <c r="A71" s="49">
        <v>53</v>
      </c>
      <c r="B71" s="50" t="s">
        <v>126</v>
      </c>
      <c r="C71" s="50" t="s">
        <v>128</v>
      </c>
      <c r="D71" s="51">
        <v>46143</v>
      </c>
      <c r="E71" s="52">
        <v>338</v>
      </c>
      <c r="F71" s="52">
        <v>275</v>
      </c>
      <c r="G71" s="53">
        <f t="shared" si="1"/>
        <v>0.81360946745562135</v>
      </c>
      <c r="H71" s="52">
        <v>7561</v>
      </c>
      <c r="I71" s="52">
        <v>6923</v>
      </c>
      <c r="J71" s="52">
        <v>5773</v>
      </c>
      <c r="K71" s="52">
        <v>4095</v>
      </c>
      <c r="L71" s="54">
        <f t="shared" si="3"/>
        <v>24352</v>
      </c>
      <c r="M71" s="52">
        <v>7293</v>
      </c>
      <c r="N71" s="52">
        <v>6621</v>
      </c>
      <c r="O71" s="52">
        <v>5536</v>
      </c>
      <c r="P71" s="52">
        <v>3905</v>
      </c>
      <c r="Q71" s="54">
        <f t="shared" si="5"/>
        <v>23355</v>
      </c>
      <c r="R71" s="52">
        <v>195</v>
      </c>
      <c r="S71" s="52">
        <v>38</v>
      </c>
      <c r="T71" s="52">
        <v>18</v>
      </c>
      <c r="U71" s="52">
        <v>10</v>
      </c>
      <c r="V71" s="55">
        <f t="shared" si="7"/>
        <v>261</v>
      </c>
      <c r="W71" s="52">
        <v>595</v>
      </c>
      <c r="X71" s="52">
        <v>201</v>
      </c>
      <c r="Y71" s="52">
        <v>101</v>
      </c>
      <c r="Z71" s="52">
        <v>20</v>
      </c>
      <c r="AA71" s="55">
        <f t="shared" si="9"/>
        <v>917</v>
      </c>
      <c r="AB71" s="52">
        <v>2282</v>
      </c>
      <c r="AC71" s="52">
        <v>1155</v>
      </c>
      <c r="AD71" s="52">
        <v>483</v>
      </c>
      <c r="AE71" s="52">
        <v>107</v>
      </c>
      <c r="AF71" s="55">
        <f t="shared" si="11"/>
        <v>4027</v>
      </c>
      <c r="AG71" s="52">
        <v>4203</v>
      </c>
      <c r="AH71" s="52">
        <v>5214</v>
      </c>
      <c r="AI71" s="52">
        <v>4929</v>
      </c>
      <c r="AJ71" s="52">
        <v>3776</v>
      </c>
      <c r="AK71" s="55">
        <f t="shared" si="13"/>
        <v>18122</v>
      </c>
      <c r="AL71" s="56">
        <f t="shared" si="14"/>
        <v>0.3129027834910188</v>
      </c>
      <c r="AM71" s="56">
        <f t="shared" si="15"/>
        <v>0.17444494789306753</v>
      </c>
      <c r="AN71" s="56">
        <f t="shared" si="16"/>
        <v>8.7247109826589592E-2</v>
      </c>
      <c r="AO71" s="56">
        <f t="shared" si="17"/>
        <v>2.7400768245838668E-2</v>
      </c>
      <c r="AP71" s="57">
        <f t="shared" si="18"/>
        <v>0.172425604795547</v>
      </c>
      <c r="AQ71" s="56">
        <f t="shared" si="19"/>
        <v>0.57630604689428222</v>
      </c>
      <c r="AR71" s="56">
        <f t="shared" si="20"/>
        <v>0.78749433620299047</v>
      </c>
      <c r="AS71" s="56">
        <f t="shared" si="21"/>
        <v>0.89035404624277459</v>
      </c>
      <c r="AT71" s="56">
        <f t="shared" si="22"/>
        <v>0.9669654289372599</v>
      </c>
      <c r="AU71" s="57">
        <f t="shared" si="23"/>
        <v>0.77593663027189042</v>
      </c>
      <c r="AV71" s="52">
        <v>4741</v>
      </c>
      <c r="AW71" s="52">
        <v>5398</v>
      </c>
      <c r="AX71" s="52">
        <v>4878</v>
      </c>
      <c r="AY71" s="52">
        <v>3649</v>
      </c>
      <c r="AZ71" s="58">
        <f t="shared" si="25"/>
        <v>18666</v>
      </c>
      <c r="BA71" s="52">
        <v>3749</v>
      </c>
      <c r="BB71" s="52">
        <v>4513</v>
      </c>
      <c r="BC71" s="52">
        <v>4501</v>
      </c>
      <c r="BD71" s="52">
        <v>3546</v>
      </c>
      <c r="BE71" s="59">
        <f t="shared" si="27"/>
        <v>16309</v>
      </c>
      <c r="BF71" s="52">
        <v>2451</v>
      </c>
      <c r="BG71" s="52">
        <v>3609</v>
      </c>
      <c r="BH71" s="52">
        <v>3897</v>
      </c>
      <c r="BI71" s="52">
        <v>3359</v>
      </c>
      <c r="BJ71" s="60">
        <f t="shared" si="29"/>
        <v>13316</v>
      </c>
      <c r="BK71" s="52">
        <v>1375</v>
      </c>
      <c r="BL71" s="52">
        <v>2381</v>
      </c>
      <c r="BM71" s="52">
        <v>2864</v>
      </c>
      <c r="BN71" s="52">
        <v>2782</v>
      </c>
      <c r="BO71" s="55">
        <f t="shared" si="31"/>
        <v>9402</v>
      </c>
      <c r="BP71" s="61"/>
      <c r="BQ71" s="62">
        <f t="shared" si="178"/>
        <v>0.65007541478129716</v>
      </c>
      <c r="BR71" s="62">
        <f t="shared" si="179"/>
        <v>0.81528470019634491</v>
      </c>
      <c r="BS71" s="62">
        <f t="shared" si="180"/>
        <v>0.88114161849710981</v>
      </c>
      <c r="BT71" s="62">
        <f t="shared" si="181"/>
        <v>0.93444302176696548</v>
      </c>
      <c r="BU71" s="63">
        <f t="shared" si="161"/>
        <v>0.79922928709055874</v>
      </c>
      <c r="BV71" s="62">
        <f t="shared" si="162"/>
        <v>0.5140545728781023</v>
      </c>
      <c r="BW71" s="62">
        <f t="shared" si="163"/>
        <v>0.68161909077178673</v>
      </c>
      <c r="BX71" s="62">
        <f t="shared" si="164"/>
        <v>0.81304190751445082</v>
      </c>
      <c r="BY71" s="62">
        <f t="shared" si="165"/>
        <v>0.90806658130601792</v>
      </c>
      <c r="BZ71" s="64">
        <f t="shared" si="166"/>
        <v>0.69830871333761502</v>
      </c>
      <c r="CA71" s="62">
        <f t="shared" si="167"/>
        <v>0.33607568901686546</v>
      </c>
      <c r="CB71" s="62">
        <f t="shared" si="168"/>
        <v>0.54508382419574086</v>
      </c>
      <c r="CC71" s="62">
        <f t="shared" si="169"/>
        <v>0.70393786127167635</v>
      </c>
      <c r="CD71" s="62">
        <f t="shared" si="170"/>
        <v>0.86017925736235601</v>
      </c>
      <c r="CE71" s="65">
        <f t="shared" si="171"/>
        <v>0.57015628345108116</v>
      </c>
      <c r="CF71" s="62">
        <f t="shared" si="172"/>
        <v>0.18853695324283559</v>
      </c>
      <c r="CG71" s="62">
        <f t="shared" si="173"/>
        <v>0.35961335145748374</v>
      </c>
      <c r="CH71" s="62">
        <f t="shared" si="174"/>
        <v>0.51734104046242779</v>
      </c>
      <c r="CI71" s="62">
        <f t="shared" si="175"/>
        <v>0.71241997439180538</v>
      </c>
      <c r="CJ71" s="66">
        <f t="shared" si="176"/>
        <v>0.40256904303147079</v>
      </c>
      <c r="CK71" s="62">
        <f t="shared" si="177"/>
        <v>0.42218565747977516</v>
      </c>
      <c r="CL71" s="62">
        <f t="shared" si="177"/>
        <v>0.60040024165533912</v>
      </c>
      <c r="CM71" s="62">
        <f t="shared" si="177"/>
        <v>0.72886560693641622</v>
      </c>
      <c r="CN71" s="62">
        <f t="shared" si="177"/>
        <v>0.85377720870678608</v>
      </c>
      <c r="CO71" s="67">
        <f t="shared" si="49"/>
        <v>0.61756583172768142</v>
      </c>
      <c r="CP71" s="48"/>
    </row>
    <row r="72" spans="1:94" ht="30.75" customHeight="1" x14ac:dyDescent="0.3">
      <c r="A72" s="49">
        <v>54</v>
      </c>
      <c r="B72" s="50" t="s">
        <v>126</v>
      </c>
      <c r="C72" s="50" t="s">
        <v>129</v>
      </c>
      <c r="D72" s="51">
        <v>46143</v>
      </c>
      <c r="E72" s="52">
        <v>139</v>
      </c>
      <c r="F72" s="52">
        <v>113</v>
      </c>
      <c r="G72" s="53">
        <f t="shared" si="1"/>
        <v>0.81294964028776984</v>
      </c>
      <c r="H72" s="52">
        <v>3416</v>
      </c>
      <c r="I72" s="52">
        <v>2837</v>
      </c>
      <c r="J72" s="52">
        <v>1955</v>
      </c>
      <c r="K72" s="52">
        <v>1416</v>
      </c>
      <c r="L72" s="54">
        <f t="shared" si="3"/>
        <v>9624</v>
      </c>
      <c r="M72" s="52">
        <v>3233</v>
      </c>
      <c r="N72" s="52">
        <v>2631</v>
      </c>
      <c r="O72" s="52">
        <v>1857</v>
      </c>
      <c r="P72" s="52">
        <v>1369</v>
      </c>
      <c r="Q72" s="54">
        <f t="shared" si="5"/>
        <v>9090</v>
      </c>
      <c r="R72" s="52">
        <v>83</v>
      </c>
      <c r="S72" s="52">
        <v>20</v>
      </c>
      <c r="T72" s="52">
        <v>8</v>
      </c>
      <c r="U72" s="52">
        <v>0</v>
      </c>
      <c r="V72" s="55">
        <f t="shared" si="7"/>
        <v>111</v>
      </c>
      <c r="W72" s="52">
        <v>242</v>
      </c>
      <c r="X72" s="52">
        <v>60</v>
      </c>
      <c r="Y72" s="52">
        <v>9</v>
      </c>
      <c r="Z72" s="52">
        <v>2</v>
      </c>
      <c r="AA72" s="55">
        <f t="shared" si="9"/>
        <v>313</v>
      </c>
      <c r="AB72" s="52">
        <v>797</v>
      </c>
      <c r="AC72" s="52">
        <v>402</v>
      </c>
      <c r="AD72" s="52">
        <v>122</v>
      </c>
      <c r="AE72" s="52">
        <v>41</v>
      </c>
      <c r="AF72" s="55">
        <f t="shared" si="11"/>
        <v>1362</v>
      </c>
      <c r="AG72" s="52">
        <v>2111</v>
      </c>
      <c r="AH72" s="52">
        <v>2149</v>
      </c>
      <c r="AI72" s="52">
        <v>1718</v>
      </c>
      <c r="AJ72" s="52">
        <v>1326</v>
      </c>
      <c r="AK72" s="55">
        <f t="shared" si="13"/>
        <v>7304</v>
      </c>
      <c r="AL72" s="56">
        <f t="shared" si="14"/>
        <v>0.24652025982060005</v>
      </c>
      <c r="AM72" s="56">
        <f t="shared" si="15"/>
        <v>0.15279361459521096</v>
      </c>
      <c r="AN72" s="56">
        <f t="shared" si="16"/>
        <v>6.5697361335487342E-2</v>
      </c>
      <c r="AO72" s="56">
        <f t="shared" si="17"/>
        <v>2.9948867786705625E-2</v>
      </c>
      <c r="AP72" s="57">
        <f t="shared" si="18"/>
        <v>0.14983498349834984</v>
      </c>
      <c r="AQ72" s="56">
        <f t="shared" si="19"/>
        <v>0.65295391277451287</v>
      </c>
      <c r="AR72" s="56">
        <f t="shared" si="20"/>
        <v>0.81679969593310531</v>
      </c>
      <c r="AS72" s="56">
        <f t="shared" si="21"/>
        <v>0.92514808831448569</v>
      </c>
      <c r="AT72" s="56">
        <f t="shared" si="22"/>
        <v>0.96859021183345506</v>
      </c>
      <c r="AU72" s="57">
        <f t="shared" si="23"/>
        <v>0.80352035203520356</v>
      </c>
      <c r="AV72" s="52">
        <v>2158</v>
      </c>
      <c r="AW72" s="52">
        <v>2178</v>
      </c>
      <c r="AX72" s="52">
        <v>1705</v>
      </c>
      <c r="AY72" s="52">
        <v>1349</v>
      </c>
      <c r="AZ72" s="58">
        <f t="shared" si="25"/>
        <v>7390</v>
      </c>
      <c r="BA72" s="52">
        <v>1846</v>
      </c>
      <c r="BB72" s="52">
        <v>1933</v>
      </c>
      <c r="BC72" s="52">
        <v>1582</v>
      </c>
      <c r="BD72" s="52">
        <v>1293</v>
      </c>
      <c r="BE72" s="59">
        <f t="shared" si="27"/>
        <v>6654</v>
      </c>
      <c r="BF72" s="52">
        <v>1358</v>
      </c>
      <c r="BG72" s="52">
        <v>1531</v>
      </c>
      <c r="BH72" s="52">
        <v>1475</v>
      </c>
      <c r="BI72" s="52">
        <v>1181</v>
      </c>
      <c r="BJ72" s="60">
        <f t="shared" si="29"/>
        <v>5545</v>
      </c>
      <c r="BK72" s="52">
        <v>785</v>
      </c>
      <c r="BL72" s="52">
        <v>1077</v>
      </c>
      <c r="BM72" s="52">
        <v>1177</v>
      </c>
      <c r="BN72" s="52">
        <v>1091</v>
      </c>
      <c r="BO72" s="55">
        <f t="shared" si="31"/>
        <v>4130</v>
      </c>
      <c r="BP72" s="61"/>
      <c r="BQ72" s="62">
        <f t="shared" si="178"/>
        <v>0.66749149396845031</v>
      </c>
      <c r="BR72" s="62">
        <f t="shared" si="179"/>
        <v>0.82782212086659068</v>
      </c>
      <c r="BS72" s="62">
        <f t="shared" si="180"/>
        <v>0.91814754981152391</v>
      </c>
      <c r="BT72" s="62">
        <f t="shared" si="181"/>
        <v>0.98539079620160697</v>
      </c>
      <c r="BU72" s="63">
        <f t="shared" si="161"/>
        <v>0.81298129812981301</v>
      </c>
      <c r="BV72" s="62">
        <f t="shared" si="162"/>
        <v>0.57098669965975879</v>
      </c>
      <c r="BW72" s="62">
        <f t="shared" si="163"/>
        <v>0.73470163435955915</v>
      </c>
      <c r="BX72" s="62">
        <f t="shared" si="164"/>
        <v>0.85191168551427032</v>
      </c>
      <c r="BY72" s="62">
        <f t="shared" si="165"/>
        <v>0.9444850255661067</v>
      </c>
      <c r="BZ72" s="64">
        <f t="shared" si="166"/>
        <v>0.73201320132013203</v>
      </c>
      <c r="CA72" s="62">
        <f t="shared" si="167"/>
        <v>0.42004330343334362</v>
      </c>
      <c r="CB72" s="62">
        <f t="shared" si="168"/>
        <v>0.58190801976434814</v>
      </c>
      <c r="CC72" s="62">
        <f t="shared" si="169"/>
        <v>0.79429186860527734</v>
      </c>
      <c r="CD72" s="62">
        <f t="shared" si="170"/>
        <v>0.86267348429510593</v>
      </c>
      <c r="CE72" s="65">
        <f t="shared" si="171"/>
        <v>0.61001100110010997</v>
      </c>
      <c r="CF72" s="62">
        <f t="shared" si="172"/>
        <v>0.24280853696257346</v>
      </c>
      <c r="CG72" s="62">
        <f t="shared" si="173"/>
        <v>0.40935005701254273</v>
      </c>
      <c r="CH72" s="62">
        <f t="shared" si="174"/>
        <v>0.63381798599892303</v>
      </c>
      <c r="CI72" s="62">
        <f t="shared" si="175"/>
        <v>0.79693206720233745</v>
      </c>
      <c r="CJ72" s="66">
        <f t="shared" si="176"/>
        <v>0.45434543454345433</v>
      </c>
      <c r="CK72" s="62">
        <f t="shared" si="177"/>
        <v>0.47533250850603154</v>
      </c>
      <c r="CL72" s="62">
        <f t="shared" si="177"/>
        <v>0.63844545800076014</v>
      </c>
      <c r="CM72" s="62">
        <f t="shared" si="177"/>
        <v>0.79954227248249865</v>
      </c>
      <c r="CN72" s="62">
        <f t="shared" si="177"/>
        <v>0.89737034331628929</v>
      </c>
      <c r="CO72" s="67">
        <f t="shared" si="49"/>
        <v>0.65233773377337734</v>
      </c>
      <c r="CP72" s="48"/>
    </row>
    <row r="73" spans="1:94" ht="30.75" customHeight="1" x14ac:dyDescent="0.3">
      <c r="A73" s="49">
        <v>55</v>
      </c>
      <c r="B73" s="50" t="s">
        <v>126</v>
      </c>
      <c r="C73" s="50" t="s">
        <v>130</v>
      </c>
      <c r="D73" s="51">
        <v>46143</v>
      </c>
      <c r="E73" s="52">
        <v>273</v>
      </c>
      <c r="F73" s="52">
        <v>218</v>
      </c>
      <c r="G73" s="53">
        <f t="shared" si="1"/>
        <v>0.79853479853479858</v>
      </c>
      <c r="H73" s="52">
        <v>7835</v>
      </c>
      <c r="I73" s="52">
        <v>6238</v>
      </c>
      <c r="J73" s="52">
        <v>3958</v>
      </c>
      <c r="K73" s="52">
        <v>2019</v>
      </c>
      <c r="L73" s="54">
        <f t="shared" si="3"/>
        <v>20050</v>
      </c>
      <c r="M73" s="52">
        <v>7780</v>
      </c>
      <c r="N73" s="52">
        <v>6166</v>
      </c>
      <c r="O73" s="52">
        <v>3935</v>
      </c>
      <c r="P73" s="52">
        <v>2018</v>
      </c>
      <c r="Q73" s="54">
        <f t="shared" si="5"/>
        <v>19899</v>
      </c>
      <c r="R73" s="52">
        <v>71</v>
      </c>
      <c r="S73" s="52">
        <v>11</v>
      </c>
      <c r="T73" s="52">
        <v>0</v>
      </c>
      <c r="U73" s="52">
        <v>0</v>
      </c>
      <c r="V73" s="55">
        <f t="shared" si="7"/>
        <v>82</v>
      </c>
      <c r="W73" s="52">
        <v>283</v>
      </c>
      <c r="X73" s="52">
        <v>55</v>
      </c>
      <c r="Y73" s="52">
        <v>3</v>
      </c>
      <c r="Z73" s="52">
        <v>0</v>
      </c>
      <c r="AA73" s="55">
        <f t="shared" si="9"/>
        <v>341</v>
      </c>
      <c r="AB73" s="52">
        <v>1406</v>
      </c>
      <c r="AC73" s="52">
        <v>458</v>
      </c>
      <c r="AD73" s="52">
        <v>145</v>
      </c>
      <c r="AE73" s="52">
        <v>37</v>
      </c>
      <c r="AF73" s="55">
        <f t="shared" si="11"/>
        <v>2046</v>
      </c>
      <c r="AG73" s="52">
        <v>6020</v>
      </c>
      <c r="AH73" s="52">
        <v>5642</v>
      </c>
      <c r="AI73" s="52">
        <v>3787</v>
      </c>
      <c r="AJ73" s="52">
        <v>1981</v>
      </c>
      <c r="AK73" s="55">
        <f t="shared" si="13"/>
        <v>17430</v>
      </c>
      <c r="AL73" s="56">
        <f t="shared" si="14"/>
        <v>0.18071979434447299</v>
      </c>
      <c r="AM73" s="56">
        <f t="shared" si="15"/>
        <v>7.4278300356795335E-2</v>
      </c>
      <c r="AN73" s="56">
        <f t="shared" si="16"/>
        <v>3.6848792884371026E-2</v>
      </c>
      <c r="AO73" s="56">
        <f t="shared" si="17"/>
        <v>1.8334985133795837E-2</v>
      </c>
      <c r="AP73" s="57">
        <f t="shared" si="18"/>
        <v>0.10281923714759536</v>
      </c>
      <c r="AQ73" s="56">
        <f t="shared" si="19"/>
        <v>0.77377892030848328</v>
      </c>
      <c r="AR73" s="56">
        <f t="shared" si="20"/>
        <v>0.91501783976646123</v>
      </c>
      <c r="AS73" s="56">
        <f t="shared" si="21"/>
        <v>0.96238881829733169</v>
      </c>
      <c r="AT73" s="56">
        <f t="shared" si="22"/>
        <v>0.98166501486620417</v>
      </c>
      <c r="AU73" s="57">
        <f t="shared" si="23"/>
        <v>0.87592341323684608</v>
      </c>
      <c r="AV73" s="52">
        <v>5917</v>
      </c>
      <c r="AW73" s="52">
        <v>5313</v>
      </c>
      <c r="AX73" s="52">
        <v>3659</v>
      </c>
      <c r="AY73" s="52">
        <v>1977</v>
      </c>
      <c r="AZ73" s="58">
        <f t="shared" si="25"/>
        <v>16866</v>
      </c>
      <c r="BA73" s="52">
        <v>5439</v>
      </c>
      <c r="BB73" s="52">
        <v>4916</v>
      </c>
      <c r="BC73" s="52">
        <v>3416</v>
      </c>
      <c r="BD73" s="52">
        <v>1942</v>
      </c>
      <c r="BE73" s="59">
        <f t="shared" si="27"/>
        <v>15713</v>
      </c>
      <c r="BF73" s="52">
        <v>4327</v>
      </c>
      <c r="BG73" s="52">
        <v>4262</v>
      </c>
      <c r="BH73" s="52">
        <v>3160</v>
      </c>
      <c r="BI73" s="52">
        <v>1872</v>
      </c>
      <c r="BJ73" s="60">
        <f t="shared" si="29"/>
        <v>13621</v>
      </c>
      <c r="BK73" s="52">
        <v>3374</v>
      </c>
      <c r="BL73" s="52">
        <v>3337</v>
      </c>
      <c r="BM73" s="52">
        <v>2658</v>
      </c>
      <c r="BN73" s="52">
        <v>1695</v>
      </c>
      <c r="BO73" s="55">
        <f t="shared" si="31"/>
        <v>11064</v>
      </c>
      <c r="BP73" s="61"/>
      <c r="BQ73" s="62">
        <f t="shared" si="178"/>
        <v>0.76053984575835476</v>
      </c>
      <c r="BR73" s="62">
        <f t="shared" si="179"/>
        <v>0.86166072007784622</v>
      </c>
      <c r="BS73" s="62">
        <f t="shared" si="180"/>
        <v>0.92986022871664553</v>
      </c>
      <c r="BT73" s="62">
        <f t="shared" si="181"/>
        <v>0.97968285431119917</v>
      </c>
      <c r="BU73" s="63">
        <f t="shared" si="161"/>
        <v>0.84758028041610134</v>
      </c>
      <c r="BV73" s="62">
        <f t="shared" si="162"/>
        <v>0.6991002570694087</v>
      </c>
      <c r="BW73" s="62">
        <f t="shared" si="163"/>
        <v>0.79727538112228347</v>
      </c>
      <c r="BX73" s="62">
        <f t="shared" si="164"/>
        <v>0.86810673443456166</v>
      </c>
      <c r="BY73" s="62">
        <f t="shared" si="165"/>
        <v>0.96233894945490583</v>
      </c>
      <c r="BZ73" s="64">
        <f t="shared" si="166"/>
        <v>0.78963767023468512</v>
      </c>
      <c r="CA73" s="62">
        <f t="shared" si="167"/>
        <v>0.55616966580976868</v>
      </c>
      <c r="CB73" s="62">
        <f t="shared" si="168"/>
        <v>0.69120986052546218</v>
      </c>
      <c r="CC73" s="62">
        <f t="shared" si="169"/>
        <v>0.80304955527318933</v>
      </c>
      <c r="CD73" s="62">
        <f t="shared" si="170"/>
        <v>0.92765113974231916</v>
      </c>
      <c r="CE73" s="65">
        <f t="shared" si="171"/>
        <v>0.6845067591336248</v>
      </c>
      <c r="CF73" s="62">
        <f t="shared" si="172"/>
        <v>0.43367609254498712</v>
      </c>
      <c r="CG73" s="62">
        <f t="shared" si="173"/>
        <v>0.54119364255595204</v>
      </c>
      <c r="CH73" s="62">
        <f t="shared" si="174"/>
        <v>0.67547649301143586</v>
      </c>
      <c r="CI73" s="62">
        <f t="shared" si="175"/>
        <v>0.83994053518334988</v>
      </c>
      <c r="CJ73" s="66">
        <f t="shared" si="176"/>
        <v>0.55600783958992916</v>
      </c>
      <c r="CK73" s="62">
        <f t="shared" si="177"/>
        <v>0.6123714652956298</v>
      </c>
      <c r="CL73" s="62">
        <f t="shared" si="177"/>
        <v>0.72283490107038606</v>
      </c>
      <c r="CM73" s="62">
        <f t="shared" si="177"/>
        <v>0.81912325285895804</v>
      </c>
      <c r="CN73" s="62">
        <f t="shared" si="177"/>
        <v>0.92740336967294357</v>
      </c>
      <c r="CO73" s="67">
        <f t="shared" si="49"/>
        <v>0.71943313734358505</v>
      </c>
      <c r="CP73" s="48"/>
    </row>
    <row r="74" spans="1:94" ht="30.75" customHeight="1" x14ac:dyDescent="0.3">
      <c r="A74" s="81" t="s">
        <v>131</v>
      </c>
      <c r="B74" s="108"/>
      <c r="C74" s="108"/>
      <c r="D74" s="109"/>
      <c r="E74" s="40">
        <f t="shared" ref="E74:F74" si="193">+E69+E66+E60+E52+E56+E46+E37+E29+E21+E17+E9+E3</f>
        <v>12327</v>
      </c>
      <c r="F74" s="40">
        <f t="shared" si="193"/>
        <v>11417</v>
      </c>
      <c r="G74" s="41">
        <f t="shared" si="1"/>
        <v>0.9261783077796707</v>
      </c>
      <c r="H74" s="40">
        <f t="shared" ref="H74:AK74" si="194">+H69+H66+H60+H52+H56+H46+H37+H29+H21+H17+H9+H3</f>
        <v>406228</v>
      </c>
      <c r="I74" s="40">
        <f t="shared" si="194"/>
        <v>353850</v>
      </c>
      <c r="J74" s="40">
        <f t="shared" si="194"/>
        <v>269110</v>
      </c>
      <c r="K74" s="40">
        <f t="shared" si="194"/>
        <v>194783</v>
      </c>
      <c r="L74" s="40">
        <f t="shared" si="194"/>
        <v>1223971</v>
      </c>
      <c r="M74" s="40">
        <f t="shared" si="194"/>
        <v>375568</v>
      </c>
      <c r="N74" s="40">
        <f t="shared" si="194"/>
        <v>331136</v>
      </c>
      <c r="O74" s="40">
        <f t="shared" si="194"/>
        <v>251249</v>
      </c>
      <c r="P74" s="40">
        <f t="shared" si="194"/>
        <v>183857</v>
      </c>
      <c r="Q74" s="40">
        <f t="shared" si="194"/>
        <v>1141810</v>
      </c>
      <c r="R74" s="40">
        <f t="shared" si="194"/>
        <v>7699</v>
      </c>
      <c r="S74" s="40">
        <f t="shared" si="194"/>
        <v>1826</v>
      </c>
      <c r="T74" s="40">
        <f t="shared" si="194"/>
        <v>631</v>
      </c>
      <c r="U74" s="40">
        <f t="shared" si="194"/>
        <v>383</v>
      </c>
      <c r="V74" s="40">
        <f t="shared" si="194"/>
        <v>10539</v>
      </c>
      <c r="W74" s="40">
        <f t="shared" si="194"/>
        <v>25672</v>
      </c>
      <c r="X74" s="40">
        <f t="shared" si="194"/>
        <v>9411</v>
      </c>
      <c r="Y74" s="40">
        <f t="shared" si="194"/>
        <v>2604</v>
      </c>
      <c r="Z74" s="40">
        <f t="shared" si="194"/>
        <v>1008</v>
      </c>
      <c r="AA74" s="40">
        <f t="shared" si="194"/>
        <v>38695</v>
      </c>
      <c r="AB74" s="40">
        <f t="shared" si="194"/>
        <v>95289</v>
      </c>
      <c r="AC74" s="40">
        <f t="shared" si="194"/>
        <v>53007</v>
      </c>
      <c r="AD74" s="40">
        <f t="shared" si="194"/>
        <v>19447</v>
      </c>
      <c r="AE74" s="40">
        <f t="shared" si="194"/>
        <v>5887</v>
      </c>
      <c r="AF74" s="40">
        <f t="shared" si="194"/>
        <v>173630</v>
      </c>
      <c r="AG74" s="40">
        <f t="shared" si="194"/>
        <v>246733</v>
      </c>
      <c r="AH74" s="40">
        <f t="shared" si="194"/>
        <v>266666</v>
      </c>
      <c r="AI74" s="40">
        <f t="shared" si="194"/>
        <v>228355</v>
      </c>
      <c r="AJ74" s="40">
        <f t="shared" si="194"/>
        <v>176250</v>
      </c>
      <c r="AK74" s="40">
        <f t="shared" si="194"/>
        <v>918004</v>
      </c>
      <c r="AL74" s="44">
        <f t="shared" si="14"/>
        <v>0.25371969922890131</v>
      </c>
      <c r="AM74" s="44">
        <f t="shared" si="15"/>
        <v>0.16007622245844608</v>
      </c>
      <c r="AN74" s="44">
        <f t="shared" si="16"/>
        <v>7.7401303089763535E-2</v>
      </c>
      <c r="AO74" s="44">
        <f t="shared" si="17"/>
        <v>3.2019449898562473E-2</v>
      </c>
      <c r="AP74" s="44">
        <f t="shared" si="18"/>
        <v>0.15206558008775539</v>
      </c>
      <c r="AQ74" s="44">
        <f t="shared" si="19"/>
        <v>0.65695959187151198</v>
      </c>
      <c r="AR74" s="44">
        <f t="shared" si="20"/>
        <v>0.80530658098183228</v>
      </c>
      <c r="AS74" s="44">
        <f t="shared" si="21"/>
        <v>0.90887923932035553</v>
      </c>
      <c r="AT74" s="44">
        <f t="shared" si="22"/>
        <v>0.95862545347743078</v>
      </c>
      <c r="AU74" s="44">
        <f t="shared" si="23"/>
        <v>0.80399015598041701</v>
      </c>
      <c r="AV74" s="40">
        <f t="shared" ref="AV74:BO74" si="195">+AV69+AV66+AV60+AV52+AV56+AV46+AV37+AV29+AV21+AV17+AV9+AV3</f>
        <v>281917</v>
      </c>
      <c r="AW74" s="40">
        <f t="shared" si="195"/>
        <v>283603</v>
      </c>
      <c r="AX74" s="40">
        <f t="shared" si="195"/>
        <v>231896</v>
      </c>
      <c r="AY74" s="40">
        <f t="shared" si="195"/>
        <v>175639</v>
      </c>
      <c r="AZ74" s="40">
        <f t="shared" si="195"/>
        <v>973055</v>
      </c>
      <c r="BA74" s="40">
        <f t="shared" si="195"/>
        <v>246545</v>
      </c>
      <c r="BB74" s="40">
        <f t="shared" si="195"/>
        <v>254946</v>
      </c>
      <c r="BC74" s="40">
        <f t="shared" si="195"/>
        <v>217434</v>
      </c>
      <c r="BD74" s="40">
        <f t="shared" si="195"/>
        <v>169799</v>
      </c>
      <c r="BE74" s="40">
        <f t="shared" si="195"/>
        <v>888724</v>
      </c>
      <c r="BF74" s="40">
        <f t="shared" si="195"/>
        <v>184222</v>
      </c>
      <c r="BG74" s="40">
        <f t="shared" si="195"/>
        <v>216661</v>
      </c>
      <c r="BH74" s="40">
        <f t="shared" si="195"/>
        <v>198582</v>
      </c>
      <c r="BI74" s="40">
        <f t="shared" si="195"/>
        <v>160291</v>
      </c>
      <c r="BJ74" s="40">
        <f t="shared" si="195"/>
        <v>759756</v>
      </c>
      <c r="BK74" s="40">
        <f t="shared" si="195"/>
        <v>130622</v>
      </c>
      <c r="BL74" s="40">
        <f t="shared" si="195"/>
        <v>164981</v>
      </c>
      <c r="BM74" s="40">
        <f t="shared" si="195"/>
        <v>169872</v>
      </c>
      <c r="BN74" s="40">
        <f t="shared" si="195"/>
        <v>143459</v>
      </c>
      <c r="BO74" s="40">
        <f t="shared" si="195"/>
        <v>608934</v>
      </c>
      <c r="BP74" s="61"/>
      <c r="BQ74" s="47">
        <f t="shared" si="178"/>
        <v>0.75064169471307463</v>
      </c>
      <c r="BR74" s="47">
        <f t="shared" si="179"/>
        <v>0.85645474971008895</v>
      </c>
      <c r="BS74" s="47">
        <f t="shared" si="180"/>
        <v>0.9229728277525483</v>
      </c>
      <c r="BT74" s="47">
        <f t="shared" si="181"/>
        <v>0.95530221857204245</v>
      </c>
      <c r="BU74" s="47">
        <f t="shared" si="161"/>
        <v>0.85220395687548711</v>
      </c>
      <c r="BV74" s="47">
        <f t="shared" si="162"/>
        <v>0.65645901674264051</v>
      </c>
      <c r="BW74" s="47">
        <f t="shared" si="163"/>
        <v>0.76991326826439888</v>
      </c>
      <c r="BX74" s="47">
        <f t="shared" si="164"/>
        <v>0.86541239965134187</v>
      </c>
      <c r="BY74" s="47">
        <f t="shared" si="165"/>
        <v>0.92353840212774063</v>
      </c>
      <c r="BZ74" s="47">
        <f t="shared" si="166"/>
        <v>0.77834666012734166</v>
      </c>
      <c r="CA74" s="47">
        <f t="shared" si="167"/>
        <v>0.49051569888808416</v>
      </c>
      <c r="CB74" s="47">
        <f t="shared" si="168"/>
        <v>0.65429612002319293</v>
      </c>
      <c r="CC74" s="47">
        <f t="shared" si="169"/>
        <v>0.79037926519110524</v>
      </c>
      <c r="CD74" s="47">
        <f t="shared" si="170"/>
        <v>0.87182429823177798</v>
      </c>
      <c r="CE74" s="47">
        <f t="shared" si="171"/>
        <v>0.66539616924006617</v>
      </c>
      <c r="CF74" s="47">
        <f t="shared" si="172"/>
        <v>0.34779853448643122</v>
      </c>
      <c r="CG74" s="47">
        <f t="shared" si="173"/>
        <v>0.49822731445689988</v>
      </c>
      <c r="CH74" s="47">
        <f t="shared" si="174"/>
        <v>0.67611015367225347</v>
      </c>
      <c r="CI74" s="47">
        <f t="shared" si="175"/>
        <v>0.78027488754847518</v>
      </c>
      <c r="CJ74" s="47">
        <f t="shared" si="176"/>
        <v>0.53330589152310803</v>
      </c>
      <c r="CK74" s="47">
        <f t="shared" si="177"/>
        <v>0.56135373620755757</v>
      </c>
      <c r="CL74" s="47">
        <f t="shared" si="177"/>
        <v>0.69472286311364517</v>
      </c>
      <c r="CM74" s="47">
        <f t="shared" si="177"/>
        <v>0.81371866156681227</v>
      </c>
      <c r="CN74" s="47">
        <f t="shared" si="177"/>
        <v>0.88273495162000903</v>
      </c>
      <c r="CO74" s="47">
        <f t="shared" si="49"/>
        <v>0.7073131694415008</v>
      </c>
      <c r="CP74" s="48"/>
    </row>
    <row r="75" spans="1:94" ht="14.25" customHeight="1" x14ac:dyDescent="0.3"/>
    <row r="76" spans="1:94" ht="14.25" customHeight="1" x14ac:dyDescent="0.3"/>
    <row r="77" spans="1:94" ht="14.25" customHeight="1" x14ac:dyDescent="0.3"/>
    <row r="78" spans="1:94" ht="14.25" customHeight="1" x14ac:dyDescent="0.3"/>
    <row r="79" spans="1:94" ht="14.25" customHeight="1" x14ac:dyDescent="0.3"/>
    <row r="80" spans="1:9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9">
    <mergeCell ref="A74:D74"/>
    <mergeCell ref="BQ1:BU1"/>
    <mergeCell ref="BV1:BZ1"/>
    <mergeCell ref="CA1:CE1"/>
    <mergeCell ref="CF1:CJ1"/>
    <mergeCell ref="CK1:CO1"/>
    <mergeCell ref="CP1:CP2"/>
    <mergeCell ref="AL1:AP1"/>
    <mergeCell ref="AQ1:AU1"/>
    <mergeCell ref="AV1:AZ1"/>
    <mergeCell ref="BA1:BE1"/>
    <mergeCell ref="BF1:BJ1"/>
    <mergeCell ref="BK1:BO1"/>
    <mergeCell ref="H1:K1"/>
    <mergeCell ref="M1:P1"/>
    <mergeCell ref="R1:V1"/>
    <mergeCell ref="W1:AA1"/>
    <mergeCell ref="AB1:AF1"/>
    <mergeCell ref="AG1:AK1"/>
  </mergeCells>
  <conditionalFormatting sqref="B3:C73">
    <cfRule type="cellIs" dxfId="258" priority="29" operator="notEqual">
      <formula>#N/A</formula>
    </cfRule>
  </conditionalFormatting>
  <conditionalFormatting sqref="D4:K8">
    <cfRule type="containsBlanks" dxfId="257" priority="71">
      <formula>LEN(TRIM(D4))=0</formula>
    </cfRule>
  </conditionalFormatting>
  <conditionalFormatting sqref="D10:K16 D18:D19">
    <cfRule type="containsBlanks" dxfId="256" priority="89">
      <formula>LEN(TRIM(D10))=0</formula>
    </cfRule>
  </conditionalFormatting>
  <conditionalFormatting sqref="D18:K20">
    <cfRule type="containsBlanks" dxfId="255" priority="107">
      <formula>LEN(TRIM(D18))=0</formula>
    </cfRule>
  </conditionalFormatting>
  <conditionalFormatting sqref="D22:K28">
    <cfRule type="containsBlanks" dxfId="254" priority="125">
      <formula>LEN(TRIM(D22))=0</formula>
    </cfRule>
  </conditionalFormatting>
  <conditionalFormatting sqref="D30:K36 D55">
    <cfRule type="containsBlanks" dxfId="253" priority="143">
      <formula>LEN(TRIM(D30))=0</formula>
    </cfRule>
  </conditionalFormatting>
  <conditionalFormatting sqref="D38:K45 D61:K65 D70:D73">
    <cfRule type="containsBlanks" dxfId="252" priority="161">
      <formula>LEN(TRIM(D38))=0</formula>
    </cfRule>
  </conditionalFormatting>
  <conditionalFormatting sqref="D47:K51 D53 D67:K68">
    <cfRule type="containsBlanks" dxfId="251" priority="179">
      <formula>LEN(TRIM(D47))=0</formula>
    </cfRule>
  </conditionalFormatting>
  <conditionalFormatting sqref="D53:K55">
    <cfRule type="containsBlanks" dxfId="250" priority="197">
      <formula>LEN(TRIM(D53))=0</formula>
    </cfRule>
  </conditionalFormatting>
  <conditionalFormatting sqref="D57:K59">
    <cfRule type="containsBlanks" dxfId="249" priority="10">
      <formula>LEN(TRIM(D57))=0</formula>
    </cfRule>
  </conditionalFormatting>
  <conditionalFormatting sqref="H67:K68 D70:K73">
    <cfRule type="containsBlanks" dxfId="248" priority="243">
      <formula>LEN(TRIM(H67))=0</formula>
    </cfRule>
  </conditionalFormatting>
  <conditionalFormatting sqref="M4:P8">
    <cfRule type="cellIs" dxfId="247" priority="30" stopIfTrue="1" operator="equal">
      <formula>0</formula>
    </cfRule>
    <cfRule type="expression" dxfId="246" priority="31">
      <formula>H4&lt;M4</formula>
    </cfRule>
  </conditionalFormatting>
  <conditionalFormatting sqref="M10:P16">
    <cfRule type="cellIs" dxfId="245" priority="72" stopIfTrue="1" operator="equal">
      <formula>0</formula>
    </cfRule>
    <cfRule type="expression" dxfId="244" priority="73">
      <formula>H10&lt;M10</formula>
    </cfRule>
  </conditionalFormatting>
  <conditionalFormatting sqref="M18:P20">
    <cfRule type="cellIs" dxfId="242" priority="90" stopIfTrue="1" operator="equal">
      <formula>0</formula>
    </cfRule>
    <cfRule type="expression" dxfId="243" priority="91">
      <formula>H18&lt;M18</formula>
    </cfRule>
  </conditionalFormatting>
  <conditionalFormatting sqref="M22:P28">
    <cfRule type="cellIs" dxfId="240" priority="108" stopIfTrue="1" operator="equal">
      <formula>0</formula>
    </cfRule>
    <cfRule type="expression" dxfId="241" priority="109">
      <formula>H22&lt;M22</formula>
    </cfRule>
  </conditionalFormatting>
  <conditionalFormatting sqref="M30:P36">
    <cfRule type="cellIs" dxfId="238" priority="126" stopIfTrue="1" operator="equal">
      <formula>0</formula>
    </cfRule>
    <cfRule type="expression" dxfId="239" priority="127">
      <formula>H30&lt;M30</formula>
    </cfRule>
  </conditionalFormatting>
  <conditionalFormatting sqref="M38:P45">
    <cfRule type="cellIs" dxfId="237" priority="144" stopIfTrue="1" operator="equal">
      <formula>0</formula>
    </cfRule>
    <cfRule type="expression" dxfId="236" priority="145">
      <formula>H38&lt;M38</formula>
    </cfRule>
  </conditionalFormatting>
  <conditionalFormatting sqref="M47:P51">
    <cfRule type="cellIs" dxfId="235" priority="162" stopIfTrue="1" operator="equal">
      <formula>0</formula>
    </cfRule>
    <cfRule type="expression" dxfId="234" priority="163">
      <formula>H47&lt;M47</formula>
    </cfRule>
  </conditionalFormatting>
  <conditionalFormatting sqref="M53:P55">
    <cfRule type="cellIs" dxfId="232" priority="180" stopIfTrue="1" operator="equal">
      <formula>0</formula>
    </cfRule>
    <cfRule type="expression" dxfId="233" priority="181">
      <formula>H53&lt;M53</formula>
    </cfRule>
  </conditionalFormatting>
  <conditionalFormatting sqref="M57:P59">
    <cfRule type="cellIs" dxfId="231" priority="11" stopIfTrue="1" operator="equal">
      <formula>0</formula>
    </cfRule>
    <cfRule type="expression" dxfId="230" priority="12">
      <formula>H57&lt;M57</formula>
    </cfRule>
  </conditionalFormatting>
  <conditionalFormatting sqref="M61:P65">
    <cfRule type="cellIs" dxfId="228" priority="198" stopIfTrue="1" operator="equal">
      <formula>0</formula>
    </cfRule>
    <cfRule type="expression" dxfId="229" priority="199">
      <formula>H61&lt;M61</formula>
    </cfRule>
  </conditionalFormatting>
  <conditionalFormatting sqref="M67:P68 M70:P73">
    <cfRule type="cellIs" dxfId="226" priority="229" stopIfTrue="1" operator="equal">
      <formula>0</formula>
    </cfRule>
    <cfRule type="expression" dxfId="227" priority="230">
      <formula>H67&lt;M67</formula>
    </cfRule>
  </conditionalFormatting>
  <conditionalFormatting sqref="M67:P68">
    <cfRule type="cellIs" dxfId="224" priority="215" stopIfTrue="1" operator="equal">
      <formula>0</formula>
    </cfRule>
    <cfRule type="expression" dxfId="225" priority="216">
      <formula>H67&lt;M67</formula>
    </cfRule>
  </conditionalFormatting>
  <conditionalFormatting sqref="Q4:Q73">
    <cfRule type="expression" dxfId="223" priority="1">
      <formula>L4&lt;Q4</formula>
    </cfRule>
  </conditionalFormatting>
  <conditionalFormatting sqref="R4:R8 W4:W8 AB4:AB8 AG4:AG8">
    <cfRule type="expression" dxfId="222" priority="32">
      <formula>($R4+$W4+$AB4+$AG4)&gt;$H4</formula>
    </cfRule>
  </conditionalFormatting>
  <conditionalFormatting sqref="R10:R16">
    <cfRule type="expression" dxfId="221" priority="246">
      <formula>($R10+$W10+$AB10+$AG10)&gt;$H10</formula>
    </cfRule>
  </conditionalFormatting>
  <conditionalFormatting sqref="R18:R20 W18:W20 AB18:AB20 AG18:AG20">
    <cfRule type="expression" dxfId="220" priority="92">
      <formula>($R18+$W18+$AB18+$AG18)&gt;$H18</formula>
    </cfRule>
  </conditionalFormatting>
  <conditionalFormatting sqref="R22:R28 W22:W28 AB22:AB28 AG22:AG28">
    <cfRule type="expression" dxfId="219" priority="110">
      <formula>($R22+$W22+$AB22+$AG22)&gt;$H22</formula>
    </cfRule>
  </conditionalFormatting>
  <conditionalFormatting sqref="R30:R36 W30:W36 AB30:AB36 AG30:AG36">
    <cfRule type="expression" dxfId="218" priority="128">
      <formula>($R30+$W30+$AB30+$AG30)&gt;$H30</formula>
    </cfRule>
  </conditionalFormatting>
  <conditionalFormatting sqref="R38:R45 W38:W45 AB38:AB45 AG38:AG45">
    <cfRule type="expression" dxfId="217" priority="146">
      <formula>($R38+$W38+$AB38+$AG38)&gt;$H38</formula>
    </cfRule>
  </conditionalFormatting>
  <conditionalFormatting sqref="R47:R51 W47:W51 AB47:AB51 AG47:AG51">
    <cfRule type="expression" dxfId="216" priority="164">
      <formula>($R47+$W47+$AB47+$AG47)&gt;$H47</formula>
    </cfRule>
  </conditionalFormatting>
  <conditionalFormatting sqref="R53:R55 W53:W55 AB53:AB55 AG53:AG55">
    <cfRule type="expression" dxfId="215" priority="182">
      <formula>($R53+$W53+$AB53+$AG53)&gt;$H53</formula>
    </cfRule>
  </conditionalFormatting>
  <conditionalFormatting sqref="R57:R59 W57:W59 AB57:AB59 AG57:AG59">
    <cfRule type="expression" dxfId="214" priority="13">
      <formula>($R57+$W57+$AB57+$AG57)&gt;$H57</formula>
    </cfRule>
  </conditionalFormatting>
  <conditionalFormatting sqref="R61:R65 W61:W65 AB61:AB65 AG61:AG65">
    <cfRule type="expression" dxfId="213" priority="200">
      <formula>($R61+$W61+$AB61+$AG61)&gt;$H61</formula>
    </cfRule>
  </conditionalFormatting>
  <conditionalFormatting sqref="R67:R68 W67:W68 AB67:AB68 AG67:AG68">
    <cfRule type="expression" dxfId="212" priority="217">
      <formula>($R67+$W67+$AB67+$AG67)&gt;$H67</formula>
    </cfRule>
  </conditionalFormatting>
  <conditionalFormatting sqref="R70:R73 W70:W73 AB70:AB73 AG70:AG73">
    <cfRule type="expression" dxfId="211" priority="231">
      <formula>($R70+$W70+$AB70+$AG70)&gt;$H70</formula>
    </cfRule>
  </conditionalFormatting>
  <conditionalFormatting sqref="R4:U8 W4:Z8 AB4:AE8 AG4:AJ8 BK4:BN8">
    <cfRule type="containsBlanks" dxfId="210" priority="33" stopIfTrue="1">
      <formula>LEN(TRIM(R4))=0</formula>
    </cfRule>
  </conditionalFormatting>
  <conditionalFormatting sqref="R10:U16">
    <cfRule type="containsBlanks" dxfId="209" priority="247" stopIfTrue="1">
      <formula>LEN(TRIM(R10))=0</formula>
    </cfRule>
  </conditionalFormatting>
  <conditionalFormatting sqref="R18:U20 W18:Z20 AB18:AE20 AG18:AJ20 BK18:BN20">
    <cfRule type="containsBlanks" dxfId="208" priority="93" stopIfTrue="1">
      <formula>LEN(TRIM(R18))=0</formula>
    </cfRule>
  </conditionalFormatting>
  <conditionalFormatting sqref="R22:U28 W22:Z28 AB22:AE28 AG22:AJ28 BK22:BN28">
    <cfRule type="containsBlanks" dxfId="207" priority="111" stopIfTrue="1">
      <formula>LEN(TRIM(R22))=0</formula>
    </cfRule>
  </conditionalFormatting>
  <conditionalFormatting sqref="R30:U36 W30:Z36 AB30:AE36 AG30:AJ36 BK30:BN36">
    <cfRule type="containsBlanks" dxfId="206" priority="129" stopIfTrue="1">
      <formula>LEN(TRIM(R30))=0</formula>
    </cfRule>
  </conditionalFormatting>
  <conditionalFormatting sqref="R38:U45 W38:Z45 AB38:AE45 AG38:AJ45 BK38:BN45">
    <cfRule type="containsBlanks" dxfId="205" priority="147" stopIfTrue="1">
      <formula>LEN(TRIM(R38))=0</formula>
    </cfRule>
  </conditionalFormatting>
  <conditionalFormatting sqref="R47:U51 W47:Z51 AB47:AE51 AG47:AJ51 BK47:BN51">
    <cfRule type="containsBlanks" dxfId="204" priority="165" stopIfTrue="1">
      <formula>LEN(TRIM(R47))=0</formula>
    </cfRule>
  </conditionalFormatting>
  <conditionalFormatting sqref="R53:U55 W53:Z55 AB53:AE55 AG53:AJ55 BK53:BN55">
    <cfRule type="containsBlanks" dxfId="203" priority="183" stopIfTrue="1">
      <formula>LEN(TRIM(R53))=0</formula>
    </cfRule>
  </conditionalFormatting>
  <conditionalFormatting sqref="R57:U59 W57:Z59 AB57:AE59 AG57:AJ59 BK57:BN59">
    <cfRule type="containsBlanks" dxfId="202" priority="14" stopIfTrue="1">
      <formula>LEN(TRIM(R57))=0</formula>
    </cfRule>
  </conditionalFormatting>
  <conditionalFormatting sqref="R61:U65 W61:Z65 AB61:AE65 AG61:AJ65 BK61:BM65">
    <cfRule type="containsBlanks" dxfId="201" priority="201" stopIfTrue="1">
      <formula>LEN(TRIM(R61))=0</formula>
    </cfRule>
  </conditionalFormatting>
  <conditionalFormatting sqref="R67:U68 W67:Z68 AB67:AE68 AG67:AJ68 BK67:BN68">
    <cfRule type="containsBlanks" dxfId="200" priority="218" stopIfTrue="1">
      <formula>LEN(TRIM(R67))=0</formula>
    </cfRule>
  </conditionalFormatting>
  <conditionalFormatting sqref="R70:U73 W70:Z73 AB70:AE73 AG70:AJ73 BK70:BN73">
    <cfRule type="containsBlanks" dxfId="199" priority="232" stopIfTrue="1">
      <formula>LEN(TRIM(R70))=0</formula>
    </cfRule>
  </conditionalFormatting>
  <conditionalFormatting sqref="S4:S8 X4:X8 AC4:AC8 AH4:AH8 R5">
    <cfRule type="expression" dxfId="198" priority="34">
      <formula>($S4+$X4+$AC4+$AH4)&gt;$I4</formula>
    </cfRule>
  </conditionalFormatting>
  <conditionalFormatting sqref="S10:S16">
    <cfRule type="expression" dxfId="197" priority="248">
      <formula>($S10+$X10+$AC10+$AH10)&gt;$I10</formula>
    </cfRule>
  </conditionalFormatting>
  <conditionalFormatting sqref="S18:S20 X18:X20 AC18:AC20 AH18:AH20">
    <cfRule type="expression" dxfId="196" priority="94">
      <formula>($S18+$X18+$AC18+$AH18)&gt;$I18</formula>
    </cfRule>
  </conditionalFormatting>
  <conditionalFormatting sqref="S22:S28 X22:X28 AC22:AC28 AH22:AH28">
    <cfRule type="expression" dxfId="195" priority="112">
      <formula>($S22+$X22+$AC22+$AH22)&gt;$I22</formula>
    </cfRule>
  </conditionalFormatting>
  <conditionalFormatting sqref="S30:S36 X30:X36 AC30:AC36 AH30:AH36">
    <cfRule type="expression" dxfId="194" priority="130">
      <formula>($S30+$X30+$AC30+$AH30)&gt;$I30</formula>
    </cfRule>
  </conditionalFormatting>
  <conditionalFormatting sqref="S38:S45 X38:X45 AC38:AC45 AH38:AH45">
    <cfRule type="expression" dxfId="193" priority="148">
      <formula>($S38+$X38+$AC38+$AH38)&gt;$I38</formula>
    </cfRule>
  </conditionalFormatting>
  <conditionalFormatting sqref="S47:S51 X47:X51 AC47:AC51 AH47:AH51">
    <cfRule type="expression" dxfId="192" priority="166">
      <formula>($S47+$X47+$AC47+$AH47)&gt;$I47</formula>
    </cfRule>
  </conditionalFormatting>
  <conditionalFormatting sqref="S53:S55 X53:X55 AC53:AC55 AH53:AH55">
    <cfRule type="expression" dxfId="191" priority="184">
      <formula>($S53+$X53+$AC53+$AH53)&gt;$I53</formula>
    </cfRule>
  </conditionalFormatting>
  <conditionalFormatting sqref="S57:S59 X57:X59 AC57:AC59 AH57:AH59">
    <cfRule type="expression" dxfId="190" priority="15">
      <formula>($S57+$X57+$AC57+$AH57)&gt;$I57</formula>
    </cfRule>
  </conditionalFormatting>
  <conditionalFormatting sqref="S61:S65 X61:X65 AC61:AC65 AH61:AH65">
    <cfRule type="expression" dxfId="189" priority="202">
      <formula>($S61+$X61+$AC61+$AH61)&gt;$I61</formula>
    </cfRule>
  </conditionalFormatting>
  <conditionalFormatting sqref="S67:S68 X67:X68 AC67:AC68 AH67:AH68">
    <cfRule type="expression" dxfId="188" priority="219">
      <formula>($S67+$X67+$AC67+$AH67)&gt;$I67</formula>
    </cfRule>
  </conditionalFormatting>
  <conditionalFormatting sqref="S70:S73 X70:X73 AC70:AC73 AH70:AH73">
    <cfRule type="expression" dxfId="187" priority="233">
      <formula>($S70+$X70+$AC70+$AH70)&gt;$I70</formula>
    </cfRule>
  </conditionalFormatting>
  <conditionalFormatting sqref="T4:T8 Y4:Y8 AD4:AD8 AI4:AI8">
    <cfRule type="expression" dxfId="186" priority="35">
      <formula>($T4+$Y4+$AD4+$AI4)&gt;$J4</formula>
    </cfRule>
  </conditionalFormatting>
  <conditionalFormatting sqref="T10:T16">
    <cfRule type="expression" dxfId="185" priority="249">
      <formula>($T10+$Y10+$AD10+$AI10)&gt;$J10</formula>
    </cfRule>
  </conditionalFormatting>
  <conditionalFormatting sqref="T18:T20 Y18:Y20 AD18:AD20 AI18:AI20">
    <cfRule type="expression" dxfId="184" priority="95">
      <formula>($T18+$Y18+$AD18+$AI18)&gt;$J18</formula>
    </cfRule>
  </conditionalFormatting>
  <conditionalFormatting sqref="T22:T28 Y22:Y28 AD22:AD28 AI22:AI28">
    <cfRule type="expression" dxfId="183" priority="113">
      <formula>($T22+$Y22+$AD22+$AI22)&gt;$J22</formula>
    </cfRule>
  </conditionalFormatting>
  <conditionalFormatting sqref="T30:T36 Y30:Y36 AD30:AD36 AI30:AI36">
    <cfRule type="expression" dxfId="182" priority="131">
      <formula>($T30+$Y30+$AD30+$AI30)&gt;$J30</formula>
    </cfRule>
  </conditionalFormatting>
  <conditionalFormatting sqref="T38:T45 Y38:Y45 AD38:AD45 AI38:AI45">
    <cfRule type="expression" dxfId="181" priority="149">
      <formula>($T38+$Y38+$AD38+$AI38)&gt;$J38</formula>
    </cfRule>
  </conditionalFormatting>
  <conditionalFormatting sqref="T47:T51 Y47:Y51 AD47:AD51 AI47:AI51">
    <cfRule type="expression" dxfId="180" priority="167">
      <formula>($T47+$Y47+$AD47+$AI47)&gt;$J47</formula>
    </cfRule>
  </conditionalFormatting>
  <conditionalFormatting sqref="T53:T55 Y53:Y55 AD53:AD55 AI53:AI55">
    <cfRule type="expression" dxfId="179" priority="185">
      <formula>($T53+$Y53+$AD53+$AI53)&gt;$J53</formula>
    </cfRule>
  </conditionalFormatting>
  <conditionalFormatting sqref="T57:T59 Y57:Y59 AD57:AD59 AI57:AI59">
    <cfRule type="expression" dxfId="178" priority="16">
      <formula>($T57+$Y57+$AD57+$AI57)&gt;$J57</formula>
    </cfRule>
  </conditionalFormatting>
  <conditionalFormatting sqref="T61:T65 Y61:Y65 AD61:AD65 AI61:AI65">
    <cfRule type="expression" dxfId="177" priority="203">
      <formula>($T61+$Y61+$AD61+$AI61)&gt;$J61</formula>
    </cfRule>
  </conditionalFormatting>
  <conditionalFormatting sqref="T67:T68 Y67:Y68 AD67:AD68 AI67:AI68">
    <cfRule type="expression" dxfId="176" priority="220">
      <formula>($T67+$Y67+$AD67+$AI67)&gt;$J67</formula>
    </cfRule>
  </conditionalFormatting>
  <conditionalFormatting sqref="T70:T73 Y70:Y73 AD70:AD73 AI70:AI73">
    <cfRule type="expression" dxfId="175" priority="234">
      <formula>($T70+$Y70+$AD70+$AI70)&gt;$J70</formula>
    </cfRule>
  </conditionalFormatting>
  <conditionalFormatting sqref="U4:U8 Z4:Z8 AE4:AE8 AJ4:AJ8">
    <cfRule type="expression" dxfId="174" priority="36">
      <formula>($U4+$Z4+$AE4+$AJ4)&gt;$K4</formula>
    </cfRule>
  </conditionalFormatting>
  <conditionalFormatting sqref="U10:U16">
    <cfRule type="expression" dxfId="173" priority="250">
      <formula>($U10+$Z10+$AE10+$AJ10)&gt;$K10</formula>
    </cfRule>
  </conditionalFormatting>
  <conditionalFormatting sqref="U18:U20 Z18:Z20 AE18:AE20 AJ18:AJ20">
    <cfRule type="expression" dxfId="172" priority="96">
      <formula>($U18+$Z18+$AE18+$AJ18)&gt;$K18</formula>
    </cfRule>
  </conditionalFormatting>
  <conditionalFormatting sqref="U22:U28 Z22:Z28 AE22:AE28 AJ22:AJ28">
    <cfRule type="expression" dxfId="171" priority="114">
      <formula>($U22+$Z22+$AE22+$AJ22)&gt;$K22</formula>
    </cfRule>
  </conditionalFormatting>
  <conditionalFormatting sqref="U30:U36 Z30:Z36 AE30:AE36 AJ30:AJ36">
    <cfRule type="expression" dxfId="170" priority="132">
      <formula>($U30+$Z30+$AE30+$AJ30)&gt;$K30</formula>
    </cfRule>
  </conditionalFormatting>
  <conditionalFormatting sqref="U38:U45 Z38:Z45 AE38:AE45 AJ38:AJ45">
    <cfRule type="expression" dxfId="169" priority="150">
      <formula>($U38+$Z38+$AE38+$AJ38)&gt;$K38</formula>
    </cfRule>
  </conditionalFormatting>
  <conditionalFormatting sqref="U47:U51 Z47:Z51 AE47:AE51 AJ47:AJ51">
    <cfRule type="expression" dxfId="168" priority="168">
      <formula>($U47+$Z47+$AE47+$AJ47)&gt;$K47</formula>
    </cfRule>
  </conditionalFormatting>
  <conditionalFormatting sqref="U53:U55 Z53:Z55 AE53:AE55 AJ53:AJ55">
    <cfRule type="expression" dxfId="167" priority="186">
      <formula>($U53+$Z53+$AE53+$AJ53)&gt;$K53</formula>
    </cfRule>
  </conditionalFormatting>
  <conditionalFormatting sqref="U57:U59 Z57:Z59 AE57:AE59 AJ57:AJ59">
    <cfRule type="expression" dxfId="166" priority="17">
      <formula>($U57+$Z57+$AE57+$AJ57)&gt;$K57</formula>
    </cfRule>
  </conditionalFormatting>
  <conditionalFormatting sqref="U61:U65 Z61:Z65 AE61:AE65 AJ61:AJ65">
    <cfRule type="expression" dxfId="165" priority="204">
      <formula>($U61+$Z61+$AE61+$AJ61)&gt;$K61</formula>
    </cfRule>
  </conditionalFormatting>
  <conditionalFormatting sqref="U67:U68 Z67:Z68 AE67:AE68 AJ67:AJ68">
    <cfRule type="expression" dxfId="164" priority="221">
      <formula>($U67+$Z67+$AE67+$AJ67)&gt;$K67</formula>
    </cfRule>
  </conditionalFormatting>
  <conditionalFormatting sqref="U70:U73 Z70:Z73 AE70:AE73 AJ70:AJ73">
    <cfRule type="expression" dxfId="163" priority="235">
      <formula>($U70+$Z70+$AE70+$AJ70)&gt;$K70</formula>
    </cfRule>
  </conditionalFormatting>
  <conditionalFormatting sqref="W5 AB5 AG5">
    <cfRule type="expression" dxfId="162" priority="28">
      <formula>(#REF!+$W5+$AB5+$AG5)&gt;$H5</formula>
    </cfRule>
  </conditionalFormatting>
  <conditionalFormatting sqref="W10:W16 AB10:AB16 AG10:AG16">
    <cfRule type="expression" dxfId="161" priority="74">
      <formula>($R10+$W10+$AB10+$AG10)&gt;$H10</formula>
    </cfRule>
  </conditionalFormatting>
  <conditionalFormatting sqref="W10:Z16 AB10:AE16 AG10:AJ16 BK10:BN16">
    <cfRule type="containsBlanks" dxfId="160" priority="75" stopIfTrue="1">
      <formula>LEN(TRIM(W10))=0</formula>
    </cfRule>
  </conditionalFormatting>
  <conditionalFormatting sqref="X10:X16 AC10:AC16 AH10:AH16">
    <cfRule type="expression" dxfId="159" priority="76">
      <formula>($S10+$X10+$AC10+$AH10)&gt;$I10</formula>
    </cfRule>
  </conditionalFormatting>
  <conditionalFormatting sqref="Y10:Y16 AD10:AD16 AI10:AI16">
    <cfRule type="expression" dxfId="158" priority="77">
      <formula>($T10+$Y10+$AD10+$AI10)&gt;$J10</formula>
    </cfRule>
  </conditionalFormatting>
  <conditionalFormatting sqref="Z10:Z16 AE10:AE16 AJ10:AJ16">
    <cfRule type="expression" dxfId="157" priority="78">
      <formula>($U10+$Z10+$AE10+$AJ10)&gt;$K10</formula>
    </cfRule>
  </conditionalFormatting>
  <conditionalFormatting sqref="AV5 AV7 BF5 BF7 BA5 BA7 BK5 BK7">
    <cfRule type="expression" dxfId="156" priority="256">
      <formula>BZ5&gt;$M5</formula>
    </cfRule>
  </conditionalFormatting>
  <conditionalFormatting sqref="AV61:AX65">
    <cfRule type="containsBlanks" dxfId="155" priority="211" stopIfTrue="1">
      <formula>LEN(TRIM(AV61))=0</formula>
    </cfRule>
  </conditionalFormatting>
  <conditionalFormatting sqref="AV4:AY8 AW29:AY29 BQ4:BU8">
    <cfRule type="containsBlanks" dxfId="154" priority="43" stopIfTrue="1">
      <formula>LEN(TRIM(AV4))=0</formula>
    </cfRule>
  </conditionalFormatting>
  <conditionalFormatting sqref="AV10:AY16">
    <cfRule type="containsBlanks" dxfId="153" priority="85" stopIfTrue="1">
      <formula>LEN(TRIM(AV10))=0</formula>
    </cfRule>
  </conditionalFormatting>
  <conditionalFormatting sqref="AV18:AY20">
    <cfRule type="containsBlanks" dxfId="152" priority="103" stopIfTrue="1">
      <formula>LEN(TRIM(AV18))=0</formula>
    </cfRule>
  </conditionalFormatting>
  <conditionalFormatting sqref="AV22:AY28">
    <cfRule type="containsBlanks" dxfId="151" priority="121" stopIfTrue="1">
      <formula>LEN(TRIM(AV22))=0</formula>
    </cfRule>
  </conditionalFormatting>
  <conditionalFormatting sqref="AV30:AY36">
    <cfRule type="containsBlanks" dxfId="150" priority="139" stopIfTrue="1">
      <formula>LEN(TRIM(AV30))=0</formula>
    </cfRule>
  </conditionalFormatting>
  <conditionalFormatting sqref="AV38:AY45">
    <cfRule type="containsBlanks" dxfId="149" priority="157" stopIfTrue="1">
      <formula>LEN(TRIM(AV38))=0</formula>
    </cfRule>
  </conditionalFormatting>
  <conditionalFormatting sqref="AV47:AY51">
    <cfRule type="containsBlanks" dxfId="148" priority="175" stopIfTrue="1">
      <formula>LEN(TRIM(AV47))=0</formula>
    </cfRule>
  </conditionalFormatting>
  <conditionalFormatting sqref="AV53:AY55">
    <cfRule type="containsBlanks" dxfId="147" priority="193" stopIfTrue="1">
      <formula>LEN(TRIM(AV53))=0</formula>
    </cfRule>
  </conditionalFormatting>
  <conditionalFormatting sqref="AV57:AY59">
    <cfRule type="containsBlanks" dxfId="146" priority="24" stopIfTrue="1">
      <formula>LEN(TRIM(AV57))=0</formula>
    </cfRule>
  </conditionalFormatting>
  <conditionalFormatting sqref="AV67:AY68">
    <cfRule type="containsBlanks" dxfId="145" priority="228" stopIfTrue="1">
      <formula>LEN(TRIM(AV67))=0</formula>
    </cfRule>
  </conditionalFormatting>
  <conditionalFormatting sqref="AV70:AY73">
    <cfRule type="containsBlanks" dxfId="144" priority="242" stopIfTrue="1">
      <formula>LEN(TRIM(AV70))=0</formula>
    </cfRule>
  </conditionalFormatting>
  <conditionalFormatting sqref="AW5 AW7 BG5 BG7 BB5 BB7 BL5 BL7">
    <cfRule type="expression" dxfId="143" priority="257">
      <formula>CA5&gt;$N5</formula>
    </cfRule>
  </conditionalFormatting>
  <conditionalFormatting sqref="AX5 AX7 BH5 BH7 BC5 BC7 BM5 BM7">
    <cfRule type="expression" dxfId="142" priority="258">
      <formula>CB5&gt;$O5</formula>
    </cfRule>
  </conditionalFormatting>
  <conditionalFormatting sqref="AX63">
    <cfRule type="expression" dxfId="141" priority="207" stopIfTrue="1">
      <formula>AY63&gt;$P63</formula>
    </cfRule>
  </conditionalFormatting>
  <conditionalFormatting sqref="AY5 AY7 BI5 BI7 BD5 BD7 BN5 BN7">
    <cfRule type="expression" dxfId="140" priority="259">
      <formula>CC5&gt;$P5</formula>
    </cfRule>
  </conditionalFormatting>
  <conditionalFormatting sqref="AZ3:AZ73">
    <cfRule type="expression" dxfId="139" priority="2">
      <formula>$AZ3&gt;$Q3</formula>
    </cfRule>
  </conditionalFormatting>
  <conditionalFormatting sqref="BA4:BA8 BK4:BK8 AV4:AV8 BF4:BF8">
    <cfRule type="expression" dxfId="138" priority="41">
      <formula>AV4&gt;$M4</formula>
    </cfRule>
  </conditionalFormatting>
  <conditionalFormatting sqref="BA10:BA16 BK10:BK16 AV10:AV16 BF10:BF16">
    <cfRule type="expression" dxfId="137" priority="83">
      <formula>AV10&gt;$M10</formula>
    </cfRule>
  </conditionalFormatting>
  <conditionalFormatting sqref="BA18:BA20 BK18:BK20 AV18:AV20 BF18:BF20">
    <cfRule type="expression" dxfId="136" priority="101">
      <formula>AV18&gt;$M18</formula>
    </cfRule>
  </conditionalFormatting>
  <conditionalFormatting sqref="BA22:BA28 BK22:BK28 AV22:AV28 BF22:BF28">
    <cfRule type="expression" dxfId="135" priority="119">
      <formula>AV22&gt;$M22</formula>
    </cfRule>
  </conditionalFormatting>
  <conditionalFormatting sqref="BA30:BA36 BK30:BK36 AV30:AV36 BF30:BF36">
    <cfRule type="expression" dxfId="134" priority="137">
      <formula>AV30&gt;$M30</formula>
    </cfRule>
  </conditionalFormatting>
  <conditionalFormatting sqref="BA38:BA45 BK38:BK45 AV38:AV45 BF38:BF45">
    <cfRule type="expression" dxfId="133" priority="155">
      <formula>AV38&gt;$M38</formula>
    </cfRule>
  </conditionalFormatting>
  <conditionalFormatting sqref="BA47:BA51 BK47:BK51 AV47:AV51 BF47:BF51">
    <cfRule type="expression" dxfId="132" priority="173">
      <formula>AV47&gt;$M47</formula>
    </cfRule>
  </conditionalFormatting>
  <conditionalFormatting sqref="BA53:BA55 BK53:BK55 AV53:AV55 BF53:BF55">
    <cfRule type="expression" dxfId="131" priority="191">
      <formula>AV53&gt;$M53</formula>
    </cfRule>
  </conditionalFormatting>
  <conditionalFormatting sqref="BA57:BA59 BK57:BK59 AV57:AV59 BF57:BF59">
    <cfRule type="expression" dxfId="130" priority="22">
      <formula>AV57&gt;$M57</formula>
    </cfRule>
  </conditionalFormatting>
  <conditionalFormatting sqref="BA61:BA65 BK61:BK65 AV61:AV65 BF61:BF65 AW63">
    <cfRule type="expression" dxfId="129" priority="209">
      <formula>AV61&gt;$M61</formula>
    </cfRule>
  </conditionalFormatting>
  <conditionalFormatting sqref="BA67:BA68 BK67:BK68 AV67:AV68 BF67:BF68">
    <cfRule type="expression" dxfId="128" priority="226">
      <formula>AV67&gt;$M67</formula>
    </cfRule>
  </conditionalFormatting>
  <conditionalFormatting sqref="BA70:BA73 BK70:BK73 AV70:AV73 BF70:BF73">
    <cfRule type="expression" dxfId="127" priority="240">
      <formula>AV70&gt;$M70</formula>
    </cfRule>
  </conditionalFormatting>
  <conditionalFormatting sqref="BA61:BC65">
    <cfRule type="containsBlanks" dxfId="126" priority="208">
      <formula>LEN(TRIM(BA61))=0</formula>
    </cfRule>
  </conditionalFormatting>
  <conditionalFormatting sqref="BA4:BD8 BV5:BY5">
    <cfRule type="containsBlanks" dxfId="125" priority="40">
      <formula>LEN(TRIM(BA4))=0</formula>
    </cfRule>
  </conditionalFormatting>
  <conditionalFormatting sqref="BA10:BD16">
    <cfRule type="containsBlanks" dxfId="124" priority="82">
      <formula>LEN(TRIM(BA10))=0</formula>
    </cfRule>
  </conditionalFormatting>
  <conditionalFormatting sqref="BA18:BD20">
    <cfRule type="containsBlanks" dxfId="123" priority="100">
      <formula>LEN(TRIM(BA18))=0</formula>
    </cfRule>
  </conditionalFormatting>
  <conditionalFormatting sqref="BA22:BD28">
    <cfRule type="containsBlanks" dxfId="122" priority="118">
      <formula>LEN(TRIM(BA22))=0</formula>
    </cfRule>
  </conditionalFormatting>
  <conditionalFormatting sqref="BA30:BD36">
    <cfRule type="containsBlanks" dxfId="121" priority="136">
      <formula>LEN(TRIM(BA30))=0</formula>
    </cfRule>
  </conditionalFormatting>
  <conditionalFormatting sqref="BA38:BD45">
    <cfRule type="containsBlanks" dxfId="120" priority="154">
      <formula>LEN(TRIM(BA38))=0</formula>
    </cfRule>
  </conditionalFormatting>
  <conditionalFormatting sqref="BA47:BD51">
    <cfRule type="containsBlanks" dxfId="119" priority="172">
      <formula>LEN(TRIM(BA47))=0</formula>
    </cfRule>
  </conditionalFormatting>
  <conditionalFormatting sqref="BA53:BD55">
    <cfRule type="containsBlanks" dxfId="118" priority="190">
      <formula>LEN(TRIM(BA53))=0</formula>
    </cfRule>
  </conditionalFormatting>
  <conditionalFormatting sqref="BA57:BD59">
    <cfRule type="containsBlanks" dxfId="117" priority="21">
      <formula>LEN(TRIM(BA57))=0</formula>
    </cfRule>
  </conditionalFormatting>
  <conditionalFormatting sqref="BA67:BD68">
    <cfRule type="containsBlanks" dxfId="116" priority="225">
      <formula>LEN(TRIM(BA67))=0</formula>
    </cfRule>
  </conditionalFormatting>
  <conditionalFormatting sqref="BA70:BD73">
    <cfRule type="containsBlanks" dxfId="115" priority="239">
      <formula>LEN(TRIM(BA70))=0</formula>
    </cfRule>
  </conditionalFormatting>
  <conditionalFormatting sqref="BE3:BE73">
    <cfRule type="expression" dxfId="114" priority="3">
      <formula>$BE3&gt;$Q3</formula>
    </cfRule>
  </conditionalFormatting>
  <conditionalFormatting sqref="BF61:BH65">
    <cfRule type="containsBlanks" dxfId="113" priority="210" stopIfTrue="1">
      <formula>LEN(TRIM(BF61))=0</formula>
    </cfRule>
  </conditionalFormatting>
  <conditionalFormatting sqref="BF4:BI8">
    <cfRule type="containsBlanks" dxfId="112" priority="42" stopIfTrue="1">
      <formula>LEN(TRIM(BF4))=0</formula>
    </cfRule>
  </conditionalFormatting>
  <conditionalFormatting sqref="BF10:BI16">
    <cfRule type="containsBlanks" dxfId="111" priority="84" stopIfTrue="1">
      <formula>LEN(TRIM(BF10))=0</formula>
    </cfRule>
  </conditionalFormatting>
  <conditionalFormatting sqref="BF18:BI20">
    <cfRule type="containsBlanks" dxfId="110" priority="102" stopIfTrue="1">
      <formula>LEN(TRIM(BF18))=0</formula>
    </cfRule>
  </conditionalFormatting>
  <conditionalFormatting sqref="BF22:BI28">
    <cfRule type="containsBlanks" dxfId="109" priority="120" stopIfTrue="1">
      <formula>LEN(TRIM(BF22))=0</formula>
    </cfRule>
  </conditionalFormatting>
  <conditionalFormatting sqref="BF30:BI36">
    <cfRule type="containsBlanks" dxfId="108" priority="138" stopIfTrue="1">
      <formula>LEN(TRIM(BF30))=0</formula>
    </cfRule>
  </conditionalFormatting>
  <conditionalFormatting sqref="BF38:BI45">
    <cfRule type="containsBlanks" dxfId="107" priority="156" stopIfTrue="1">
      <formula>LEN(TRIM(BF38))=0</formula>
    </cfRule>
  </conditionalFormatting>
  <conditionalFormatting sqref="BF47:BI51">
    <cfRule type="containsBlanks" dxfId="106" priority="174" stopIfTrue="1">
      <formula>LEN(TRIM(BF47))=0</formula>
    </cfRule>
  </conditionalFormatting>
  <conditionalFormatting sqref="BF53:BI55">
    <cfRule type="containsBlanks" dxfId="105" priority="192" stopIfTrue="1">
      <formula>LEN(TRIM(BF53))=0</formula>
    </cfRule>
  </conditionalFormatting>
  <conditionalFormatting sqref="BF57:BI59">
    <cfRule type="containsBlanks" dxfId="104" priority="23" stopIfTrue="1">
      <formula>LEN(TRIM(BF57))=0</formula>
    </cfRule>
  </conditionalFormatting>
  <conditionalFormatting sqref="BF67:BI68">
    <cfRule type="containsBlanks" dxfId="103" priority="227" stopIfTrue="1">
      <formula>LEN(TRIM(BF67))=0</formula>
    </cfRule>
  </conditionalFormatting>
  <conditionalFormatting sqref="BF70:BI73">
    <cfRule type="containsBlanks" dxfId="102" priority="241" stopIfTrue="1">
      <formula>LEN(TRIM(BF70))=0</formula>
    </cfRule>
  </conditionalFormatting>
  <conditionalFormatting sqref="BJ3:BJ73">
    <cfRule type="expression" dxfId="101" priority="4">
      <formula>$BJ3&gt;$Q3</formula>
    </cfRule>
  </conditionalFormatting>
  <conditionalFormatting sqref="BL4:BL8 AW4:AW8 BB4:BB8 BG4:BG8 AW22:AW36">
    <cfRule type="expression" dxfId="100" priority="37">
      <formula>AW4&gt;$N4</formula>
    </cfRule>
  </conditionalFormatting>
  <conditionalFormatting sqref="BL10:BL16 AW10:AW16 BB10:BB16 BG10:BG16">
    <cfRule type="expression" dxfId="99" priority="79">
      <formula>AW10&gt;$N10</formula>
    </cfRule>
  </conditionalFormatting>
  <conditionalFormatting sqref="BL18:BL20 AW18:AW20 BB18:BB20 BG18:BG20">
    <cfRule type="expression" dxfId="98" priority="97">
      <formula>AW18&gt;$N18</formula>
    </cfRule>
  </conditionalFormatting>
  <conditionalFormatting sqref="BL22:BL28 BB22:BB28 BG22:BG28">
    <cfRule type="expression" dxfId="97" priority="115">
      <formula>BB22&gt;$N22</formula>
    </cfRule>
  </conditionalFormatting>
  <conditionalFormatting sqref="BL30:BL36 BB30:BB36 BG30:BG36">
    <cfRule type="expression" dxfId="96" priority="133">
      <formula>BB30&gt;$N30</formula>
    </cfRule>
  </conditionalFormatting>
  <conditionalFormatting sqref="BL38:BL45 AW38:AW45 BB38:BB45 BG38:BG45">
    <cfRule type="expression" dxfId="95" priority="151">
      <formula>AW38&gt;$N38</formula>
    </cfRule>
  </conditionalFormatting>
  <conditionalFormatting sqref="BL47:BL51 AW47:AW51 BB47:BB51 BG47:BG51">
    <cfRule type="expression" dxfId="94" priority="169">
      <formula>AW47&gt;$N47</formula>
    </cfRule>
  </conditionalFormatting>
  <conditionalFormatting sqref="BL53:BL55 AW53:AW55 BB53:BB55 BG53:BG55">
    <cfRule type="expression" dxfId="93" priority="187">
      <formula>AW53&gt;$N53</formula>
    </cfRule>
  </conditionalFormatting>
  <conditionalFormatting sqref="BL57:BL59 AW57:AW59 BB57:BB59 BG57:BG59">
    <cfRule type="expression" dxfId="92" priority="18">
      <formula>AW57&gt;$N57</formula>
    </cfRule>
  </conditionalFormatting>
  <conditionalFormatting sqref="BL61:BL65 AW61:AW65 BB61:BB65 BG61:BG65">
    <cfRule type="expression" dxfId="91" priority="205">
      <formula>AW61&gt;$N61</formula>
    </cfRule>
  </conditionalFormatting>
  <conditionalFormatting sqref="BL67:BL68 AW67:AW68 BB67:BB68 BG67:BG68">
    <cfRule type="expression" dxfId="90" priority="222">
      <formula>AW67&gt;$N67</formula>
    </cfRule>
  </conditionalFormatting>
  <conditionalFormatting sqref="BL70:BL73 AW70:AW73 BB70:BB73 BG70:BG73">
    <cfRule type="expression" dxfId="89" priority="236">
      <formula>AW70&gt;$N70</formula>
    </cfRule>
  </conditionalFormatting>
  <conditionalFormatting sqref="BM4:BM8 AX4:AX8 BC4:BC8 BH4:BH8 AX22:AX36">
    <cfRule type="expression" dxfId="88" priority="38">
      <formula>AX4&gt;$O4</formula>
    </cfRule>
  </conditionalFormatting>
  <conditionalFormatting sqref="BM10:BM16 AX10:AX16 BC10:BC16 BH10:BH16">
    <cfRule type="expression" dxfId="87" priority="80">
      <formula>AX10&gt;$O10</formula>
    </cfRule>
  </conditionalFormatting>
  <conditionalFormatting sqref="BM18:BM20 AX18:AX20 BC18:BC20 BH18:BH20">
    <cfRule type="expression" dxfId="86" priority="98">
      <formula>AX18&gt;$O18</formula>
    </cfRule>
  </conditionalFormatting>
  <conditionalFormatting sqref="BM22:BM28 BC22:BC28 BH22:BH28">
    <cfRule type="expression" dxfId="85" priority="116">
      <formula>BC22&gt;$O22</formula>
    </cfRule>
  </conditionalFormatting>
  <conditionalFormatting sqref="BM30:BM36 BC30:BC36 BH30:BH36">
    <cfRule type="expression" dxfId="84" priority="134">
      <formula>BC30&gt;$O30</formula>
    </cfRule>
  </conditionalFormatting>
  <conditionalFormatting sqref="BM38:BM45 AX38:AX45 BC38:BC45 BH38:BH45">
    <cfRule type="expression" dxfId="83" priority="152">
      <formula>AX38&gt;$O38</formula>
    </cfRule>
  </conditionalFormatting>
  <conditionalFormatting sqref="BM47:BM51 AX47:AX51 BC47:BC51 BH47:BH51">
    <cfRule type="expression" dxfId="82" priority="170">
      <formula>AX47&gt;$O47</formula>
    </cfRule>
  </conditionalFormatting>
  <conditionalFormatting sqref="BM53:BM55 AX53:AX55 BC53:BC55 BH53:BH55">
    <cfRule type="expression" dxfId="81" priority="188">
      <formula>AX53&gt;$O53</formula>
    </cfRule>
  </conditionalFormatting>
  <conditionalFormatting sqref="BM57:BM59 AX57:AX59 BC57:BC59 BH57:BH59">
    <cfRule type="expression" dxfId="80" priority="19">
      <formula>AX57&gt;$O57</formula>
    </cfRule>
  </conditionalFormatting>
  <conditionalFormatting sqref="BM61:BM65 AX61:AX65 BC61:BC65 BH61:BH65 AW63">
    <cfRule type="expression" dxfId="79" priority="206">
      <formula>AX61&gt;$O61</formula>
    </cfRule>
  </conditionalFormatting>
  <conditionalFormatting sqref="BM67:BM68 AX67:AX68 BC67:BC68 BH67:BH68">
    <cfRule type="expression" dxfId="78" priority="223">
      <formula>AX67&gt;$O67</formula>
    </cfRule>
  </conditionalFormatting>
  <conditionalFormatting sqref="BM70:BM73 AX70:AX73 BC70:BC73 BH70:BH73">
    <cfRule type="expression" dxfId="77" priority="237">
      <formula>AX70&gt;$O70</formula>
    </cfRule>
  </conditionalFormatting>
  <conditionalFormatting sqref="BN4:BN8 AY4:AY8 BD4:BD8 BI4:BI8 AY22:AY36">
    <cfRule type="expression" dxfId="76" priority="39">
      <formula>AY4&gt;$P4</formula>
    </cfRule>
  </conditionalFormatting>
  <conditionalFormatting sqref="BN10:BN16 AY10:AY16 BD10:BD16 BI10:BI16">
    <cfRule type="expression" dxfId="75" priority="81">
      <formula>AY10&gt;$P10</formula>
    </cfRule>
  </conditionalFormatting>
  <conditionalFormatting sqref="BN18:BN20 AY18:AY20 BD18:BD20 BI18:BI20">
    <cfRule type="expression" dxfId="74" priority="99">
      <formula>AY18&gt;$P18</formula>
    </cfRule>
  </conditionalFormatting>
  <conditionalFormatting sqref="BN22:BN28 BD22:BD28 BI22:BI28">
    <cfRule type="expression" dxfId="73" priority="117">
      <formula>BD22&gt;$P22</formula>
    </cfRule>
  </conditionalFormatting>
  <conditionalFormatting sqref="BN30:BN36 BD30:BD36 BI30:BI36">
    <cfRule type="expression" dxfId="72" priority="135">
      <formula>BD30&gt;$P30</formula>
    </cfRule>
  </conditionalFormatting>
  <conditionalFormatting sqref="BN38:BN45 AY38:AY45 BD38:BD45 BI38:BI45">
    <cfRule type="expression" dxfId="71" priority="153">
      <formula>AY38&gt;$P38</formula>
    </cfRule>
  </conditionalFormatting>
  <conditionalFormatting sqref="BN47:BN51 AY47:AY51 BD47:BD51 BI47:BI51">
    <cfRule type="expression" dxfId="70" priority="171">
      <formula>AY47&gt;$P47</formula>
    </cfRule>
  </conditionalFormatting>
  <conditionalFormatting sqref="BN53:BN55 AY53:AY55 BD53:BD55 BI53:BI55">
    <cfRule type="expression" dxfId="69" priority="189">
      <formula>AY53&gt;$P53</formula>
    </cfRule>
  </conditionalFormatting>
  <conditionalFormatting sqref="BN57:BN59 AY57:AY59 BD57:BD59 BI57:BI59">
    <cfRule type="expression" dxfId="68" priority="20">
      <formula>AY57&gt;$P57</formula>
    </cfRule>
  </conditionalFormatting>
  <conditionalFormatting sqref="BN67:BN68 AY67:AY68 BD67:BD68 BI67:BI68">
    <cfRule type="expression" dxfId="67" priority="224">
      <formula>AY67&gt;$P67</formula>
    </cfRule>
  </conditionalFormatting>
  <conditionalFormatting sqref="BN70:BN73 AY70:AY73 BD70:BD73 BI70:BI73">
    <cfRule type="expression" dxfId="66" priority="238">
      <formula>AY70&gt;$P70</formula>
    </cfRule>
  </conditionalFormatting>
  <conditionalFormatting sqref="BO3:BO73">
    <cfRule type="expression" dxfId="65" priority="5">
      <formula>$BO3&gt;$Q3</formula>
    </cfRule>
  </conditionalFormatting>
  <conditionalFormatting sqref="BQ9:BU9">
    <cfRule type="expression" dxfId="64" priority="49">
      <formula>BQ9&gt;100%</formula>
    </cfRule>
    <cfRule type="containsBlanks" dxfId="63" priority="50" stopIfTrue="1">
      <formula>LEN(TRIM(BQ9))=0</formula>
    </cfRule>
  </conditionalFormatting>
  <conditionalFormatting sqref="BQ10:BU16">
    <cfRule type="containsBlanks" dxfId="62" priority="86" stopIfTrue="1">
      <formula>LEN(TRIM(BQ10))=0</formula>
    </cfRule>
  </conditionalFormatting>
  <conditionalFormatting sqref="BQ18:BU20">
    <cfRule type="containsBlanks" dxfId="61" priority="104" stopIfTrue="1">
      <formula>LEN(TRIM(BQ18))=0</formula>
    </cfRule>
  </conditionalFormatting>
  <conditionalFormatting sqref="BQ22:BU28">
    <cfRule type="containsBlanks" dxfId="60" priority="122" stopIfTrue="1">
      <formula>LEN(TRIM(BQ22))=0</formula>
    </cfRule>
  </conditionalFormatting>
  <conditionalFormatting sqref="BQ30:BU36">
    <cfRule type="containsBlanks" dxfId="59" priority="140" stopIfTrue="1">
      <formula>LEN(TRIM(BQ30))=0</formula>
    </cfRule>
  </conditionalFormatting>
  <conditionalFormatting sqref="BQ38:BU45 BU61">
    <cfRule type="containsBlanks" dxfId="58" priority="158" stopIfTrue="1">
      <formula>LEN(TRIM(BQ38))=0</formula>
    </cfRule>
  </conditionalFormatting>
  <conditionalFormatting sqref="BQ47:BU51">
    <cfRule type="containsBlanks" dxfId="57" priority="176" stopIfTrue="1">
      <formula>LEN(TRIM(BQ47))=0</formula>
    </cfRule>
  </conditionalFormatting>
  <conditionalFormatting sqref="BQ52:BU52">
    <cfRule type="containsBlanks" dxfId="56" priority="62" stopIfTrue="1">
      <formula>LEN(TRIM(BQ52))=0</formula>
    </cfRule>
  </conditionalFormatting>
  <conditionalFormatting sqref="BQ53:BU55">
    <cfRule type="containsBlanks" dxfId="55" priority="194" stopIfTrue="1">
      <formula>LEN(TRIM(BQ53))=0</formula>
    </cfRule>
  </conditionalFormatting>
  <conditionalFormatting sqref="BQ57:BU59">
    <cfRule type="containsBlanks" dxfId="54" priority="25" stopIfTrue="1">
      <formula>LEN(TRIM(BQ57))=0</formula>
    </cfRule>
  </conditionalFormatting>
  <conditionalFormatting sqref="BQ61:BU65">
    <cfRule type="containsBlanks" dxfId="53" priority="212" stopIfTrue="1">
      <formula>LEN(TRIM(BQ61))=0</formula>
    </cfRule>
  </conditionalFormatting>
  <conditionalFormatting sqref="BQ67:BU73">
    <cfRule type="containsBlanks" dxfId="52" priority="45" stopIfTrue="1">
      <formula>LEN(TRIM(BQ67))=0</formula>
    </cfRule>
  </conditionalFormatting>
  <conditionalFormatting sqref="BQ3:BY3">
    <cfRule type="expression" dxfId="50" priority="69">
      <formula>BQ3&gt;100%</formula>
    </cfRule>
    <cfRule type="containsBlanks" dxfId="51" priority="70" stopIfTrue="1">
      <formula>LEN(TRIM(BQ3))=0</formula>
    </cfRule>
  </conditionalFormatting>
  <conditionalFormatting sqref="BQ17:BY17">
    <cfRule type="expression" dxfId="49" priority="51">
      <formula>BQ17&gt;100%</formula>
    </cfRule>
    <cfRule type="containsBlanks" dxfId="48" priority="52" stopIfTrue="1">
      <formula>LEN(TRIM(BQ17))=0</formula>
    </cfRule>
  </conditionalFormatting>
  <conditionalFormatting sqref="BQ21:BY21">
    <cfRule type="expression" dxfId="46" priority="53">
      <formula>BQ21&gt;100%</formula>
    </cfRule>
    <cfRule type="containsBlanks" dxfId="47" priority="54" stopIfTrue="1">
      <formula>LEN(TRIM(BQ21))=0</formula>
    </cfRule>
  </conditionalFormatting>
  <conditionalFormatting sqref="BQ29:BY29">
    <cfRule type="expression" dxfId="44" priority="55">
      <formula>BQ29&gt;100%</formula>
    </cfRule>
    <cfRule type="containsBlanks" dxfId="45" priority="56" stopIfTrue="1">
      <formula>LEN(TRIM(BQ29))=0</formula>
    </cfRule>
  </conditionalFormatting>
  <conditionalFormatting sqref="BQ37:BY37">
    <cfRule type="expression" dxfId="42" priority="57">
      <formula>BQ37&gt;100%</formula>
    </cfRule>
    <cfRule type="containsBlanks" dxfId="43" priority="58" stopIfTrue="1">
      <formula>LEN(TRIM(BQ37))=0</formula>
    </cfRule>
  </conditionalFormatting>
  <conditionalFormatting sqref="BQ46:BY46">
    <cfRule type="expression" dxfId="40" priority="59">
      <formula>BQ46&gt;100%</formula>
    </cfRule>
    <cfRule type="containsBlanks" dxfId="41" priority="60" stopIfTrue="1">
      <formula>LEN(TRIM(BQ46))=0</formula>
    </cfRule>
  </conditionalFormatting>
  <conditionalFormatting sqref="BQ52:BY52">
    <cfRule type="expression" dxfId="39" priority="61">
      <formula>BQ52&gt;100%</formula>
    </cfRule>
  </conditionalFormatting>
  <conditionalFormatting sqref="BQ56:BY56">
    <cfRule type="expression" dxfId="37" priority="63">
      <formula>BQ56&gt;100%</formula>
    </cfRule>
    <cfRule type="containsBlanks" dxfId="38" priority="64" stopIfTrue="1">
      <formula>LEN(TRIM(BQ56))=0</formula>
    </cfRule>
  </conditionalFormatting>
  <conditionalFormatting sqref="BQ60:BY60">
    <cfRule type="expression" dxfId="36" priority="65">
      <formula>BQ60&gt;100%</formula>
    </cfRule>
    <cfRule type="containsBlanks" dxfId="35" priority="66" stopIfTrue="1">
      <formula>LEN(TRIM(BQ60))=0</formula>
    </cfRule>
  </conditionalFormatting>
  <conditionalFormatting sqref="BQ66:BY66">
    <cfRule type="expression" dxfId="33" priority="67">
      <formula>BQ66&gt;100%</formula>
    </cfRule>
    <cfRule type="containsBlanks" dxfId="34" priority="68" stopIfTrue="1">
      <formula>LEN(TRIM(BQ66))=0</formula>
    </cfRule>
  </conditionalFormatting>
  <conditionalFormatting sqref="BT10:BY16">
    <cfRule type="expression" dxfId="32" priority="87">
      <formula>BT10&gt;100%</formula>
    </cfRule>
  </conditionalFormatting>
  <conditionalFormatting sqref="BT18:BY20">
    <cfRule type="expression" dxfId="31" priority="105">
      <formula>BT18&gt;100%</formula>
    </cfRule>
  </conditionalFormatting>
  <conditionalFormatting sqref="BT22:BY28">
    <cfRule type="expression" dxfId="30" priority="123">
      <formula>BT22&gt;100%</formula>
    </cfRule>
  </conditionalFormatting>
  <conditionalFormatting sqref="BT30:BY36">
    <cfRule type="expression" dxfId="29" priority="141">
      <formula>BT30&gt;100%</formula>
    </cfRule>
  </conditionalFormatting>
  <conditionalFormatting sqref="BT38:BY45 BU61">
    <cfRule type="expression" dxfId="28" priority="159">
      <formula>BT38&gt;100%</formula>
    </cfRule>
  </conditionalFormatting>
  <conditionalFormatting sqref="BT47:BY51">
    <cfRule type="expression" dxfId="27" priority="177">
      <formula>BT47&gt;100%</formula>
    </cfRule>
  </conditionalFormatting>
  <conditionalFormatting sqref="BT53:BY55">
    <cfRule type="expression" dxfId="26" priority="195">
      <formula>BT53&gt;100%</formula>
    </cfRule>
  </conditionalFormatting>
  <conditionalFormatting sqref="BT57:BY59">
    <cfRule type="expression" dxfId="25" priority="26">
      <formula>BT57&gt;100%</formula>
    </cfRule>
  </conditionalFormatting>
  <conditionalFormatting sqref="BT61:BY65">
    <cfRule type="expression" dxfId="24" priority="213">
      <formula>BT61&gt;100%</formula>
    </cfRule>
  </conditionalFormatting>
  <conditionalFormatting sqref="BT67:BY73 CF3:CI58 BT4:BU8 BV4:BY9">
    <cfRule type="expression" dxfId="23" priority="46">
      <formula>BT3&gt;100%</formula>
    </cfRule>
  </conditionalFormatting>
  <conditionalFormatting sqref="BV4:BY9 BV67:BY73">
    <cfRule type="containsBlanks" dxfId="22" priority="47" stopIfTrue="1">
      <formula>LEN(TRIM(BV4))=0</formula>
    </cfRule>
  </conditionalFormatting>
  <conditionalFormatting sqref="BV10:BY16">
    <cfRule type="containsBlanks" dxfId="21" priority="88" stopIfTrue="1">
      <formula>LEN(TRIM(BV10))=0</formula>
    </cfRule>
  </conditionalFormatting>
  <conditionalFormatting sqref="BV18:BY20">
    <cfRule type="containsBlanks" dxfId="20" priority="106" stopIfTrue="1">
      <formula>LEN(TRIM(BV18))=0</formula>
    </cfRule>
  </conditionalFormatting>
  <conditionalFormatting sqref="BV22:BY28">
    <cfRule type="containsBlanks" dxfId="19" priority="124" stopIfTrue="1">
      <formula>LEN(TRIM(BV22))=0</formula>
    </cfRule>
  </conditionalFormatting>
  <conditionalFormatting sqref="BV30:BY36">
    <cfRule type="containsBlanks" dxfId="18" priority="142" stopIfTrue="1">
      <formula>LEN(TRIM(BV30))=0</formula>
    </cfRule>
  </conditionalFormatting>
  <conditionalFormatting sqref="BV38:BY45">
    <cfRule type="containsBlanks" dxfId="17" priority="160" stopIfTrue="1">
      <formula>LEN(TRIM(BV38))=0</formula>
    </cfRule>
  </conditionalFormatting>
  <conditionalFormatting sqref="BV47:BY51">
    <cfRule type="containsBlanks" dxfId="16" priority="178" stopIfTrue="1">
      <formula>LEN(TRIM(BV47))=0</formula>
    </cfRule>
  </conditionalFormatting>
  <conditionalFormatting sqref="BV52:BY55">
    <cfRule type="containsBlanks" dxfId="15" priority="196" stopIfTrue="1">
      <formula>LEN(TRIM(BV52))=0</formula>
    </cfRule>
  </conditionalFormatting>
  <conditionalFormatting sqref="BV57:BY59">
    <cfRule type="containsBlanks" dxfId="14" priority="27" stopIfTrue="1">
      <formula>LEN(TRIM(BV57))=0</formula>
    </cfRule>
  </conditionalFormatting>
  <conditionalFormatting sqref="BV61:BY65">
    <cfRule type="containsBlanks" dxfId="13" priority="214" stopIfTrue="1">
      <formula>LEN(TRIM(BV61))=0</formula>
    </cfRule>
  </conditionalFormatting>
  <conditionalFormatting sqref="CA3:CD51">
    <cfRule type="containsBlanks" dxfId="12" priority="48" stopIfTrue="1">
      <formula>LEN(TRIM(CA3))=0</formula>
    </cfRule>
  </conditionalFormatting>
  <conditionalFormatting sqref="CA52:CD52">
    <cfRule type="containsBlanks" dxfId="11" priority="244" stopIfTrue="1">
      <formula>LEN(TRIM(CA52))=0</formula>
    </cfRule>
  </conditionalFormatting>
  <conditionalFormatting sqref="CA53:CD73">
    <cfRule type="containsBlanks" dxfId="10" priority="8" stopIfTrue="1">
      <formula>LEN(TRIM(CA53))=0</formula>
    </cfRule>
  </conditionalFormatting>
  <conditionalFormatting sqref="CF3:CI51">
    <cfRule type="containsBlanks" dxfId="9" priority="44" stopIfTrue="1">
      <formula>LEN(TRIM(CF3))=0</formula>
    </cfRule>
  </conditionalFormatting>
  <conditionalFormatting sqref="CF52:CI52">
    <cfRule type="containsBlanks" dxfId="8" priority="245" stopIfTrue="1">
      <formula>LEN(TRIM(CF52))=0</formula>
    </cfRule>
  </conditionalFormatting>
  <conditionalFormatting sqref="CF53:CI73">
    <cfRule type="containsBlanks" dxfId="7" priority="6" stopIfTrue="1">
      <formula>LEN(TRIM(CF53))=0</formula>
    </cfRule>
  </conditionalFormatting>
  <conditionalFormatting sqref="CF59:CI73 CA3:CD73">
    <cfRule type="expression" dxfId="6" priority="7">
      <formula>CA3&gt;100%</formula>
    </cfRule>
  </conditionalFormatting>
  <conditionalFormatting sqref="CK3:CN73">
    <cfRule type="containsBlanks" dxfId="5" priority="9">
      <formula>LEN(TRIM(CK3))=0</formula>
    </cfRule>
  </conditionalFormatting>
  <conditionalFormatting sqref="CP3:CP74">
    <cfRule type="expression" dxfId="4" priority="251" stopIfTrue="1">
      <formula>CO3=""</formula>
    </cfRule>
    <cfRule type="expression" dxfId="0" priority="252">
      <formula>$CO3&gt;=70%</formula>
    </cfRule>
    <cfRule type="expression" dxfId="3" priority="253">
      <formula>AND($CO3&gt;=60%,$CO3&lt;70%)</formula>
    </cfRule>
    <cfRule type="expression" dxfId="2" priority="254">
      <formula>AND($CO3&gt;=50%,$CO3&lt;60%)</formula>
    </cfRule>
    <cfRule type="expression" dxfId="1" priority="255">
      <formula>OR(LEN(TRIM($CO3))=0, AND(ISNUMBER($CO3), $CO3&lt;50%))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PRETEST</vt:lpstr>
      <vt:lpstr>POSTTEST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2026-10-14T05:54:23Z</dcterms:created>
  <dcterms:modified xsi:type="dcterms:W3CDTF">2026-10-14T05:55:42Z</dcterms:modified>
</cp:coreProperties>
</file>